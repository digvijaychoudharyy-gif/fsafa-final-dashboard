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IM Ranchi\Term V\FSAFA\"/>
    </mc:Choice>
  </mc:AlternateContent>
  <xr:revisionPtr revIDLastSave="0" documentId="8_{FBB1173E-9CB6-42B5-9BEE-888794551AEF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Maruti Suzuki" sheetId="1" r:id="rId1"/>
    <sheet name="Eicher Motors" sheetId="5" r:id="rId2"/>
    <sheet name="Mahindra &amp; Mahindra" sheetId="3" r:id="rId3"/>
    <sheet name="Tata Motors" sheetId="4" r:id="rId4"/>
    <sheet name="Ashok Leyland" sheetId="2" r:id="rId5"/>
    <sheet name="Forensic Analysis" sheetId="7" r:id="rId6"/>
    <sheet name="Financial Statement Analysi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2" i="7" l="1"/>
  <c r="BA12" i="7"/>
  <c r="BB12" i="7"/>
  <c r="BC12" i="7"/>
  <c r="BD12" i="7"/>
  <c r="BE12" i="7"/>
  <c r="BH12" i="7"/>
  <c r="BI12" i="7"/>
  <c r="BA13" i="7"/>
  <c r="BB13" i="7"/>
  <c r="BC13" i="7"/>
  <c r="BD13" i="7"/>
  <c r="BE13" i="7"/>
  <c r="BF13" i="7"/>
  <c r="BG13" i="7"/>
  <c r="BH13" i="7"/>
  <c r="BI13" i="7"/>
  <c r="BA14" i="7"/>
  <c r="BB14" i="7"/>
  <c r="BC14" i="7"/>
  <c r="BD14" i="7"/>
  <c r="BE14" i="7"/>
  <c r="BF14" i="7"/>
  <c r="BG14" i="7"/>
  <c r="BH14" i="7"/>
  <c r="BI14" i="7"/>
  <c r="BA15" i="7"/>
  <c r="BB15" i="7"/>
  <c r="BC15" i="7"/>
  <c r="BD15" i="7"/>
  <c r="BE15" i="7"/>
  <c r="BF15" i="7"/>
  <c r="BG15" i="7"/>
  <c r="BH15" i="7"/>
  <c r="BI15" i="7"/>
  <c r="BA16" i="7"/>
  <c r="BB16" i="7"/>
  <c r="BC16" i="7"/>
  <c r="BD16" i="7"/>
  <c r="BE16" i="7"/>
  <c r="BF16" i="7"/>
  <c r="BG16" i="7"/>
  <c r="AZ16" i="7"/>
  <c r="AZ15" i="7"/>
  <c r="AZ14" i="7"/>
  <c r="AZ13" i="7"/>
  <c r="AZ12" i="7"/>
  <c r="AN16" i="7"/>
  <c r="AO16" i="7"/>
  <c r="AP16" i="7"/>
  <c r="AQ16" i="7"/>
  <c r="AR16" i="7"/>
  <c r="AS16" i="7"/>
  <c r="AT16" i="7"/>
  <c r="AU16" i="7"/>
  <c r="AV16" i="7"/>
  <c r="AM16" i="7"/>
  <c r="AN15" i="7"/>
  <c r="AO15" i="7"/>
  <c r="AP15" i="7"/>
  <c r="AQ15" i="7"/>
  <c r="AR15" i="7"/>
  <c r="AS15" i="7"/>
  <c r="AT15" i="7"/>
  <c r="AU15" i="7"/>
  <c r="AV15" i="7"/>
  <c r="AM15" i="7"/>
  <c r="AN14" i="7"/>
  <c r="AO14" i="7"/>
  <c r="AP14" i="7"/>
  <c r="AQ14" i="7"/>
  <c r="AR14" i="7"/>
  <c r="AS14" i="7"/>
  <c r="AT14" i="7"/>
  <c r="AU14" i="7"/>
  <c r="AV14" i="7"/>
  <c r="AM14" i="7"/>
  <c r="AN13" i="7"/>
  <c r="AO13" i="7"/>
  <c r="AP13" i="7"/>
  <c r="AQ13" i="7"/>
  <c r="AR13" i="7"/>
  <c r="AS13" i="7"/>
  <c r="AT13" i="7"/>
  <c r="AU13" i="7"/>
  <c r="AV13" i="7"/>
  <c r="AM13" i="7"/>
  <c r="AN12" i="7"/>
  <c r="AO12" i="7"/>
  <c r="AP12" i="7"/>
  <c r="AQ12" i="7"/>
  <c r="AR12" i="7"/>
  <c r="AS12" i="7"/>
  <c r="AT12" i="7"/>
  <c r="AU12" i="7"/>
  <c r="AV12" i="7"/>
  <c r="AM12" i="7"/>
  <c r="L22" i="5"/>
  <c r="G22" i="5"/>
  <c r="F22" i="5"/>
  <c r="E22" i="5"/>
  <c r="D22" i="5"/>
  <c r="M19" i="5"/>
  <c r="M22" i="5" s="1"/>
  <c r="L19" i="5"/>
  <c r="K19" i="5"/>
  <c r="K22" i="5" s="1"/>
  <c r="J19" i="5"/>
  <c r="J22" i="5" s="1"/>
  <c r="I19" i="5"/>
  <c r="I22" i="5" s="1"/>
  <c r="H19" i="5"/>
  <c r="H22" i="5" s="1"/>
  <c r="G19" i="5"/>
  <c r="F19" i="5"/>
  <c r="E19" i="5"/>
  <c r="D19" i="5"/>
  <c r="C19" i="5"/>
  <c r="C22" i="5" s="1"/>
  <c r="B19" i="5"/>
  <c r="B22" i="5" s="1"/>
  <c r="B19" i="3"/>
  <c r="M22" i="3"/>
  <c r="L22" i="3"/>
  <c r="G22" i="3"/>
  <c r="F22" i="3"/>
  <c r="E22" i="3"/>
  <c r="D22" i="3"/>
  <c r="M19" i="3"/>
  <c r="L19" i="3"/>
  <c r="K19" i="3"/>
  <c r="K22" i="3" s="1"/>
  <c r="J19" i="3"/>
  <c r="J22" i="3" s="1"/>
  <c r="I19" i="3"/>
  <c r="I22" i="3" s="1"/>
  <c r="H19" i="3"/>
  <c r="H22" i="3" s="1"/>
  <c r="G19" i="3"/>
  <c r="F19" i="3"/>
  <c r="E19" i="3"/>
  <c r="D19" i="3"/>
  <c r="C19" i="3"/>
  <c r="C22" i="3" s="1"/>
  <c r="B22" i="3"/>
  <c r="C22" i="4"/>
  <c r="D22" i="4"/>
  <c r="I22" i="4"/>
  <c r="J22" i="4"/>
  <c r="K22" i="4"/>
  <c r="L22" i="4"/>
  <c r="C19" i="4"/>
  <c r="D19" i="4"/>
  <c r="E19" i="4"/>
  <c r="E22" i="4" s="1"/>
  <c r="F19" i="4"/>
  <c r="F22" i="4" s="1"/>
  <c r="G19" i="4"/>
  <c r="G22" i="4" s="1"/>
  <c r="H19" i="4"/>
  <c r="H22" i="4" s="1"/>
  <c r="I19" i="4"/>
  <c r="J19" i="4"/>
  <c r="K19" i="4"/>
  <c r="L19" i="4"/>
  <c r="M19" i="4"/>
  <c r="M22" i="4" s="1"/>
  <c r="B19" i="4"/>
  <c r="B22" i="4" s="1"/>
  <c r="B19" i="2"/>
  <c r="B22" i="2" s="1"/>
  <c r="C19" i="2"/>
  <c r="C22" i="2" s="1"/>
  <c r="D19" i="2"/>
  <c r="D22" i="2" s="1"/>
  <c r="E19" i="2"/>
  <c r="E22" i="2" s="1"/>
  <c r="F19" i="2"/>
  <c r="F22" i="2" s="1"/>
  <c r="G19" i="2"/>
  <c r="G22" i="2" s="1"/>
  <c r="H19" i="2"/>
  <c r="H22" i="2" s="1"/>
  <c r="I19" i="2"/>
  <c r="I22" i="2" s="1"/>
  <c r="J19" i="2"/>
  <c r="J22" i="2" s="1"/>
  <c r="K19" i="2"/>
  <c r="K22" i="2" s="1"/>
  <c r="L19" i="2"/>
  <c r="L22" i="2" s="1"/>
  <c r="M19" i="2"/>
  <c r="M22" i="2" s="1"/>
  <c r="R9" i="1"/>
  <c r="S9" i="1"/>
  <c r="T9" i="1"/>
  <c r="U9" i="1"/>
  <c r="V9" i="1"/>
  <c r="W9" i="1"/>
  <c r="X9" i="1"/>
  <c r="Y9" i="1"/>
  <c r="Z9" i="1"/>
  <c r="AA9" i="1"/>
  <c r="AB9" i="1"/>
  <c r="Q9" i="1"/>
  <c r="G22" i="1"/>
  <c r="M22" i="1"/>
  <c r="L22" i="1"/>
  <c r="K22" i="1"/>
  <c r="J22" i="1"/>
  <c r="I22" i="1"/>
  <c r="H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<sst xmlns="http://schemas.openxmlformats.org/spreadsheetml/2006/main" count="690" uniqueCount="130">
  <si>
    <t>Metric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</si>
  <si>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</si>
  <si>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</si>
  <si>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</si>
  <si>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</si>
  <si>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</si>
  <si>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</si>
  <si>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</si>
  <si>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</si>
  <si>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</si>
  <si>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</si>
  <si>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</si>
  <si>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</si>
  <si>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</si>
  <si>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</si>
  <si>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</si>
  <si>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</si>
  <si>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</si>
  <si>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</si>
  <si>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</si>
  <si>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</si>
  <si>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</si>
  <si>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</si>
  <si>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(Rs)</t>
  </si>
  <si>
    <t>Dividend Payout %</t>
  </si>
  <si>
    <t>Cash from Operating Activity </t>
  </si>
  <si>
    <t>Accruals</t>
  </si>
  <si>
    <t>Covid Years</t>
  </si>
  <si>
    <t>Profit before tax</t>
  </si>
  <si>
    <t>EPS in Rs</t>
  </si>
  <si>
    <t>Sales </t>
  </si>
  <si>
    <t>Expenses </t>
  </si>
  <si>
    <t>Other Income </t>
  </si>
  <si>
    <t>Net Profit 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</si>
  <si>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</si>
  <si>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</si>
  <si>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</si>
  <si>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</si>
  <si>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</si>
  <si>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</si>
  <si>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</si>
  <si>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Direct taxes</t>
  </si>
  <si>
    <t>Change in W.C</t>
  </si>
  <si>
    <t>In the case of Maruti Suzuki, the accruals observed in 2019-2020 were primarily driven by normal working capital timing differences and tax outflows rather than managerial discretion. Changes in receivables, inventory, and payables reflected routine business operations and COVID-related disruptions, with no evidence of aggressive revenue recognition or expense deferral. Therefore, these accruals are classified as non-discretionary and indicate high earnings quality rather than earnings manipulation.</t>
  </si>
  <si>
    <t>In FY2019, accounts receivable declined by ₹851 crore while payables decreased significantly by ₹858 crore. Such sharp movements in working capital components indicate a substantial shift and may appear as a potential red flag, warranting closer examination of the company’s cash flow management and underlying business conditions.</t>
  </si>
  <si>
    <t>Year</t>
  </si>
  <si>
    <t>EPS</t>
  </si>
  <si>
    <t>Sales Growth %</t>
  </si>
  <si>
    <t>PBT</t>
  </si>
  <si>
    <t>Dec 2013</t>
  </si>
  <si>
    <t>Dec 2014</t>
  </si>
  <si>
    <r>
      <t>Cash from Operating Activity </t>
    </r>
    <r>
      <rPr>
        <sz val="11"/>
        <color rgb="FF665EFD"/>
        <rFont val="Arial"/>
        <family val="2"/>
      </rPr>
      <t>-</t>
    </r>
  </si>
  <si>
    <t>Cash from Operating Activity -</t>
  </si>
  <si>
    <t>Working capital changes</t>
  </si>
  <si>
    <t>CFO</t>
  </si>
  <si>
    <t>Balance Sheet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</si>
  <si>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</si>
  <si>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</si>
  <si>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</si>
  <si>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</si>
  <si>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</si>
  <si>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</si>
  <si>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</si>
  <si>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</si>
  <si>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</si>
  <si>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</si>
  <si>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</si>
  <si>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</si>
  <si>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</si>
  <si>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</si>
  <si>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</si>
  <si>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</si>
  <si>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</si>
  <si>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</si>
  <si>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</si>
  <si>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</si>
  <si>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</si>
  <si>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</si>
  <si>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</si>
  <si>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</si>
  <si>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</si>
  <si>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</si>
  <si>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</si>
  <si>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</si>
  <si>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</si>
  <si>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</si>
  <si>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</si>
  <si>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</si>
  <si>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</si>
  <si>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Total Assets</t>
  </si>
  <si>
    <t>Preference Capital</t>
  </si>
  <si>
    <t>Borrowings -</t>
  </si>
  <si>
    <t>Other Liabilities -</t>
  </si>
  <si>
    <t>Fixed Assets -</t>
  </si>
  <si>
    <t>Other Assets -</t>
  </si>
  <si>
    <t>Trade receivables +</t>
  </si>
  <si>
    <t>Trade receivables</t>
  </si>
  <si>
    <t>Railway sidings</t>
  </si>
  <si>
    <t>M-Score</t>
  </si>
  <si>
    <t>Z-Score</t>
  </si>
  <si>
    <t>F-Score</t>
  </si>
  <si>
    <t>MARUTI SUZUKI</t>
  </si>
  <si>
    <t>TATA MOTORS</t>
  </si>
  <si>
    <t>MAHINDRA &amp;MAHINDRA</t>
  </si>
  <si>
    <t>ASHOK LEYLAND</t>
  </si>
  <si>
    <t>EICHER MOTORS</t>
  </si>
  <si>
    <t>MSCORE</t>
  </si>
  <si>
    <t>ZSCORE</t>
  </si>
  <si>
    <t>F SCORE</t>
  </si>
  <si>
    <t>DU PONT ANALYSIS</t>
  </si>
  <si>
    <t>Op. Margin</t>
  </si>
  <si>
    <t>Asset TO</t>
  </si>
  <si>
    <t>Equity Mult.</t>
  </si>
  <si>
    <t>ROE (%)</t>
  </si>
  <si>
    <t xml:space="preserve">MARUTI SUZUKI </t>
  </si>
  <si>
    <t xml:space="preserve"> EICHER MOTORS</t>
  </si>
  <si>
    <t xml:space="preserve"> TATA MOTORS</t>
  </si>
  <si>
    <t>MAHINDRA &amp; MAHINDRA</t>
  </si>
  <si>
    <t>Tax burden</t>
  </si>
  <si>
    <t>Interest Burden</t>
  </si>
  <si>
    <t>DSO</t>
  </si>
  <si>
    <t>DIO</t>
  </si>
  <si>
    <t>DPO</t>
  </si>
  <si>
    <t>CCC (Days)</t>
  </si>
  <si>
    <t>CCC</t>
  </si>
  <si>
    <t>EFFICIENCY(CASH CONVERSION CAYCLE)</t>
  </si>
  <si>
    <t>WCR</t>
  </si>
  <si>
    <t>Cash Ratio</t>
  </si>
  <si>
    <t>Ratio \ Year</t>
  </si>
  <si>
    <t>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</si>
</sst>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5EFD"/>
      <name val="Arial"/>
      <family val="2"/>
    </font>
    <font>
      <sz val="11"/>
      <color rgb="FF665EFD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14" fontId="1" fillId="7" borderId="1" xfId="0" applyNumberFormat="1" applyFont="1" applyFill="1" applyBorder="1"/>
    <xf numFmtId="0" fontId="1" fillId="6" borderId="1" xfId="0" applyFont="1" applyFill="1" applyBorder="1"/>
    <xf numFmtId="0" fontId="0" fillId="7" borderId="1" xfId="0" applyFill="1" applyBorder="1" applyAlignment="1">
      <alignment horizontal="center"/>
    </xf>
    <xf numFmtId="0" fontId="0" fillId="9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0" borderId="0" xfId="0" applyNumberFormat="1"/>
    <xf numFmtId="0" fontId="1" fillId="10" borderId="1" xfId="0" applyFont="1" applyFill="1" applyBorder="1"/>
    <xf numFmtId="0" fontId="0" fillId="10" borderId="1" xfId="0" applyFill="1" applyBorder="1"/>
    <xf numFmtId="0" fontId="0" fillId="10" borderId="1" xfId="0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10" borderId="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3" borderId="10" xfId="0" applyFont="1" applyFill="1" applyBorder="1"/>
    <xf numFmtId="0" fontId="0" fillId="2" borderId="10" xfId="0" applyFill="1" applyBorder="1"/>
    <xf numFmtId="0" fontId="1" fillId="3" borderId="11" xfId="0" applyFont="1" applyFill="1" applyBorder="1"/>
    <xf numFmtId="0" fontId="0" fillId="2" borderId="11" xfId="0" applyFill="1" applyBorder="1"/>
    <xf numFmtId="0" fontId="0" fillId="8" borderId="0" xfId="0" applyFill="1" applyBorder="1" applyAlignment="1">
      <alignment horizontal="center"/>
    </xf>
    <xf numFmtId="0" fontId="0" fillId="5" borderId="1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" fillId="3" borderId="0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12" borderId="0" xfId="0" applyFill="1"/>
    <xf numFmtId="0" fontId="0" fillId="12" borderId="0" xfId="0" applyFill="1" applyAlignment="1">
      <alignment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0" fillId="12" borderId="0" xfId="0" applyFill="1" applyBorder="1" applyAlignment="1">
      <alignment vertical="center" wrapText="1"/>
    </xf>
    <xf numFmtId="0" fontId="0" fillId="12" borderId="8" xfId="0" applyFill="1" applyBorder="1"/>
    <xf numFmtId="0" fontId="1" fillId="12" borderId="8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vertical="center" wrapText="1"/>
    </xf>
    <xf numFmtId="0" fontId="0" fillId="12" borderId="9" xfId="0" applyFill="1" applyBorder="1"/>
    <xf numFmtId="0" fontId="0" fillId="12" borderId="3" xfId="0" applyFill="1" applyBorder="1" applyAlignment="1">
      <alignment vertical="center" wrapText="1"/>
    </xf>
    <xf numFmtId="0" fontId="0" fillId="12" borderId="3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2" xfId="0" applyFill="1" applyBorder="1"/>
    <xf numFmtId="0" fontId="0" fillId="12" borderId="4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</a:t>
            </a:r>
            <a:r>
              <a:rPr lang="en-IN" baseline="0"/>
              <a:t>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Analysis'!$Y$12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Analysis'!$Z$12:$AI$12</c:f>
              <c:numCache>
                <c:formatCode>General</c:formatCode>
                <c:ptCount val="10"/>
                <c:pt idx="0">
                  <c:v>-2.65</c:v>
                </c:pt>
                <c:pt idx="1">
                  <c:v>-2.72</c:v>
                </c:pt>
                <c:pt idx="2">
                  <c:v>-2.68</c:v>
                </c:pt>
                <c:pt idx="3">
                  <c:v>-2.5499999999999998</c:v>
                </c:pt>
                <c:pt idx="4">
                  <c:v>-2.48</c:v>
                </c:pt>
                <c:pt idx="5">
                  <c:v>-2.4500000000000002</c:v>
                </c:pt>
                <c:pt idx="6">
                  <c:v>-2.6</c:v>
                </c:pt>
                <c:pt idx="7">
                  <c:v>-2.7</c:v>
                </c:pt>
                <c:pt idx="8">
                  <c:v>-2.78</c:v>
                </c:pt>
                <c:pt idx="9">
                  <c:v>-2.82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6-45C2-8D16-089FFEC56D1E}"/>
            </c:ext>
          </c:extLst>
        </c:ser>
        <c:ser>
          <c:idx val="1"/>
          <c:order val="1"/>
          <c:tx>
            <c:strRef>
              <c:f>'Forensic Analysis'!$Y$13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Analysis'!$Z$13:$AI$13</c:f>
              <c:numCache>
                <c:formatCode>General</c:formatCode>
                <c:ptCount val="10"/>
                <c:pt idx="0">
                  <c:v>-2.1</c:v>
                </c:pt>
                <c:pt idx="1">
                  <c:v>-2</c:v>
                </c:pt>
                <c:pt idx="2">
                  <c:v>-1.95</c:v>
                </c:pt>
                <c:pt idx="3">
                  <c:v>-1.9</c:v>
                </c:pt>
                <c:pt idx="4">
                  <c:v>-1.85</c:v>
                </c:pt>
                <c:pt idx="5">
                  <c:v>-1.75</c:v>
                </c:pt>
                <c:pt idx="6">
                  <c:v>-2.0499999999999998</c:v>
                </c:pt>
                <c:pt idx="7">
                  <c:v>-2.2000000000000002</c:v>
                </c:pt>
                <c:pt idx="8">
                  <c:v>-2.35</c:v>
                </c:pt>
                <c:pt idx="9">
                  <c:v>-2.4500000000000002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6-45C2-8D16-089FFEC56D1E}"/>
            </c:ext>
          </c:extLst>
        </c:ser>
        <c:ser>
          <c:idx val="2"/>
          <c:order val="2"/>
          <c:tx>
            <c:strRef>
              <c:f>'Forensic Analysis'!$Y$14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Analysis'!$Z$14:$AI$14</c:f>
              <c:numCache>
                <c:formatCode>General</c:formatCode>
                <c:ptCount val="10"/>
                <c:pt idx="0">
                  <c:v>-2.5499999999999998</c:v>
                </c:pt>
                <c:pt idx="1">
                  <c:v>-2.6</c:v>
                </c:pt>
                <c:pt idx="2">
                  <c:v>-2.62</c:v>
                </c:pt>
                <c:pt idx="3">
                  <c:v>-2.58</c:v>
                </c:pt>
                <c:pt idx="4">
                  <c:v>-2.5</c:v>
                </c:pt>
                <c:pt idx="5">
                  <c:v>-2.4</c:v>
                </c:pt>
                <c:pt idx="6">
                  <c:v>-2.5499999999999998</c:v>
                </c:pt>
                <c:pt idx="7">
                  <c:v>-2.65</c:v>
                </c:pt>
                <c:pt idx="8">
                  <c:v>-2.7</c:v>
                </c:pt>
                <c:pt idx="9">
                  <c:v>-2.75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6-45C2-8D16-089FFEC56D1E}"/>
            </c:ext>
          </c:extLst>
        </c:ser>
        <c:ser>
          <c:idx val="3"/>
          <c:order val="3"/>
          <c:tx>
            <c:strRef>
              <c:f>'Forensic Analysis'!$Y$15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Analysis'!$Z$15:$AI$15</c:f>
              <c:numCache>
                <c:formatCode>General</c:formatCode>
                <c:ptCount val="10"/>
                <c:pt idx="0">
                  <c:v>-2.2999999999999998</c:v>
                </c:pt>
                <c:pt idx="1">
                  <c:v>-2.25</c:v>
                </c:pt>
                <c:pt idx="2">
                  <c:v>-2.2000000000000002</c:v>
                </c:pt>
                <c:pt idx="3">
                  <c:v>-2.15</c:v>
                </c:pt>
                <c:pt idx="4">
                  <c:v>-2.1</c:v>
                </c:pt>
                <c:pt idx="5">
                  <c:v>-1.95</c:v>
                </c:pt>
                <c:pt idx="6">
                  <c:v>-2.0499999999999998</c:v>
                </c:pt>
                <c:pt idx="7">
                  <c:v>-2.2000000000000002</c:v>
                </c:pt>
                <c:pt idx="8">
                  <c:v>-2.2999999999999998</c:v>
                </c:pt>
                <c:pt idx="9">
                  <c:v>-2.4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B6-45C2-8D16-089FFEC56D1E}"/>
            </c:ext>
          </c:extLst>
        </c:ser>
        <c:ser>
          <c:idx val="4"/>
          <c:order val="4"/>
          <c:tx>
            <c:strRef>
              <c:f>'Forensic Analysis'!$Y$16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Analysis'!$Z$16:$AI$16</c:f>
              <c:numCache>
                <c:formatCode>General</c:formatCode>
                <c:ptCount val="10"/>
                <c:pt idx="0">
                  <c:v>-2.9</c:v>
                </c:pt>
                <c:pt idx="1">
                  <c:v>-3</c:v>
                </c:pt>
                <c:pt idx="2">
                  <c:v>-3.1</c:v>
                </c:pt>
                <c:pt idx="3">
                  <c:v>-2.9</c:v>
                </c:pt>
                <c:pt idx="4">
                  <c:v>-2.7</c:v>
                </c:pt>
                <c:pt idx="5">
                  <c:v>-2.6</c:v>
                </c:pt>
                <c:pt idx="6">
                  <c:v>-2.7</c:v>
                </c:pt>
                <c:pt idx="7">
                  <c:v>-2.8</c:v>
                </c:pt>
                <c:pt idx="8">
                  <c:v>-2.9</c:v>
                </c:pt>
                <c:pt idx="9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B6-45C2-8D16-089FFEC5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846751"/>
        <c:axId val="830404207"/>
      </c:lineChart>
      <c:catAx>
        <c:axId val="12268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4207"/>
        <c:crosses val="autoZero"/>
        <c:auto val="1"/>
        <c:lblAlgn val="ctr"/>
        <c:lblOffset val="100"/>
        <c:noMultiLvlLbl val="0"/>
      </c:catAx>
      <c:valAx>
        <c:axId val="8304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Analysis'!$AL$12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Analysis'!$AM$12:$AV$12</c:f>
              <c:numCache>
                <c:formatCode>General</c:formatCode>
                <c:ptCount val="10"/>
                <c:pt idx="0">
                  <c:v>3.8</c:v>
                </c:pt>
                <c:pt idx="1">
                  <c:v>3.9</c:v>
                </c:pt>
                <c:pt idx="2">
                  <c:v>4</c:v>
                </c:pt>
                <c:pt idx="3">
                  <c:v>3.6</c:v>
                </c:pt>
                <c:pt idx="4">
                  <c:v>3.4</c:v>
                </c:pt>
                <c:pt idx="5">
                  <c:v>3.2</c:v>
                </c:pt>
                <c:pt idx="6">
                  <c:v>3.5</c:v>
                </c:pt>
                <c:pt idx="7">
                  <c:v>3.7</c:v>
                </c:pt>
                <c:pt idx="8">
                  <c:v>3.9</c:v>
                </c:pt>
                <c:pt idx="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D-4828-9336-B52D6F6D9373}"/>
            </c:ext>
          </c:extLst>
        </c:ser>
        <c:ser>
          <c:idx val="1"/>
          <c:order val="1"/>
          <c:tx>
            <c:strRef>
              <c:f>'Forensic Analysis'!$AL$13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Analysis'!$AM$13:$AV$13</c:f>
              <c:numCache>
                <c:formatCode>General</c:formatCode>
                <c:ptCount val="10"/>
                <c:pt idx="0">
                  <c:v>2.1</c:v>
                </c:pt>
                <c:pt idx="1">
                  <c:v>2</c:v>
                </c:pt>
                <c:pt idx="2">
                  <c:v>1.9</c:v>
                </c:pt>
                <c:pt idx="3">
                  <c:v>1.8</c:v>
                </c:pt>
                <c:pt idx="4">
                  <c:v>1.7</c:v>
                </c:pt>
                <c:pt idx="5">
                  <c:v>1.6</c:v>
                </c:pt>
                <c:pt idx="6">
                  <c:v>2.2000000000000002</c:v>
                </c:pt>
                <c:pt idx="7">
                  <c:v>2.6</c:v>
                </c:pt>
                <c:pt idx="8">
                  <c:v>2.9</c:v>
                </c:pt>
                <c:pt idx="9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D-4828-9336-B52D6F6D9373}"/>
            </c:ext>
          </c:extLst>
        </c:ser>
        <c:ser>
          <c:idx val="2"/>
          <c:order val="2"/>
          <c:tx>
            <c:strRef>
              <c:f>'Forensic Analysis'!$AL$14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Analysis'!$AM$14:$AV$14</c:f>
              <c:numCache>
                <c:formatCode>General</c:formatCode>
                <c:ptCount val="10"/>
                <c:pt idx="0">
                  <c:v>3.2</c:v>
                </c:pt>
                <c:pt idx="1">
                  <c:v>3.3</c:v>
                </c:pt>
                <c:pt idx="2">
                  <c:v>3.4</c:v>
                </c:pt>
                <c:pt idx="3">
                  <c:v>3.3</c:v>
                </c:pt>
                <c:pt idx="4">
                  <c:v>3.1</c:v>
                </c:pt>
                <c:pt idx="5">
                  <c:v>2.9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D-4828-9336-B52D6F6D9373}"/>
            </c:ext>
          </c:extLst>
        </c:ser>
        <c:ser>
          <c:idx val="3"/>
          <c:order val="3"/>
          <c:tx>
            <c:strRef>
              <c:f>'Forensic Analysis'!$AL$15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Analysis'!$AM$15:$AV$15</c:f>
              <c:numCache>
                <c:formatCode>General</c:formatCode>
                <c:ptCount val="10"/>
                <c:pt idx="0">
                  <c:v>2.4</c:v>
                </c:pt>
                <c:pt idx="1">
                  <c:v>2.2999999999999998</c:v>
                </c:pt>
                <c:pt idx="2">
                  <c:v>2.2000000000000002</c:v>
                </c:pt>
                <c:pt idx="3">
                  <c:v>2.1</c:v>
                </c:pt>
                <c:pt idx="4">
                  <c:v>2</c:v>
                </c:pt>
                <c:pt idx="5">
                  <c:v>1.8</c:v>
                </c:pt>
                <c:pt idx="6">
                  <c:v>2.2000000000000002</c:v>
                </c:pt>
                <c:pt idx="7">
                  <c:v>2.5</c:v>
                </c:pt>
                <c:pt idx="8">
                  <c:v>2.7</c:v>
                </c:pt>
                <c:pt idx="9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FD-4828-9336-B52D6F6D9373}"/>
            </c:ext>
          </c:extLst>
        </c:ser>
        <c:ser>
          <c:idx val="4"/>
          <c:order val="4"/>
          <c:tx>
            <c:strRef>
              <c:f>'Forensic Analysis'!$AL$16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Analysis'!$AM$16:$AV$16</c:f>
              <c:numCache>
                <c:formatCode>General</c:formatCode>
                <c:ptCount val="10"/>
                <c:pt idx="0">
                  <c:v>3.8</c:v>
                </c:pt>
                <c:pt idx="1">
                  <c:v>4</c:v>
                </c:pt>
                <c:pt idx="2">
                  <c:v>4.0999999999999996</c:v>
                </c:pt>
                <c:pt idx="3">
                  <c:v>3.7</c:v>
                </c:pt>
                <c:pt idx="4">
                  <c:v>3.4</c:v>
                </c:pt>
                <c:pt idx="5">
                  <c:v>3.2</c:v>
                </c:pt>
                <c:pt idx="6">
                  <c:v>3.5</c:v>
                </c:pt>
                <c:pt idx="7">
                  <c:v>3.7</c:v>
                </c:pt>
                <c:pt idx="8">
                  <c:v>4</c:v>
                </c:pt>
                <c:pt idx="9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FD-4828-9336-B52D6F6D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63215"/>
        <c:axId val="1184666095"/>
      </c:lineChart>
      <c:catAx>
        <c:axId val="11846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66095"/>
        <c:crosses val="autoZero"/>
        <c:auto val="1"/>
        <c:lblAlgn val="ctr"/>
        <c:lblOffset val="100"/>
        <c:noMultiLvlLbl val="0"/>
      </c:catAx>
      <c:valAx>
        <c:axId val="11846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6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F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Analysis'!$AY$12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Analysis'!$AZ$12:$BI$12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5-42C4-B2D4-1A2CE38184C2}"/>
            </c:ext>
          </c:extLst>
        </c:ser>
        <c:ser>
          <c:idx val="1"/>
          <c:order val="1"/>
          <c:tx>
            <c:strRef>
              <c:f>'Forensic Analysis'!$AY$13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Analysis'!$AZ$13:$BI$13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5-42C4-B2D4-1A2CE38184C2}"/>
            </c:ext>
          </c:extLst>
        </c:ser>
        <c:ser>
          <c:idx val="2"/>
          <c:order val="2"/>
          <c:tx>
            <c:strRef>
              <c:f>'Forensic Analysis'!$AY$14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Analysis'!$AZ$14:$BI$14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55-42C4-B2D4-1A2CE38184C2}"/>
            </c:ext>
          </c:extLst>
        </c:ser>
        <c:ser>
          <c:idx val="3"/>
          <c:order val="3"/>
          <c:tx>
            <c:strRef>
              <c:f>'Forensic Analysis'!$AY$15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Analysis'!$AZ$15:$BI$15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55-42C4-B2D4-1A2CE38184C2}"/>
            </c:ext>
          </c:extLst>
        </c:ser>
        <c:ser>
          <c:idx val="4"/>
          <c:order val="4"/>
          <c:tx>
            <c:strRef>
              <c:f>'Forensic Analysis'!$AY$16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Analysis'!$AZ$16:$BI$16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55-42C4-B2D4-1A2CE381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009983"/>
        <c:axId val="1203008543"/>
      </c:lineChart>
      <c:catAx>
        <c:axId val="12030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8543"/>
        <c:crosses val="autoZero"/>
        <c:auto val="1"/>
        <c:lblAlgn val="ctr"/>
        <c:lblOffset val="100"/>
        <c:noMultiLvlLbl val="0"/>
      </c:catAx>
      <c:valAx>
        <c:axId val="12030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561195</xdr:colOff>
      <xdr:row>18</xdr:row>
      <xdr:rowOff>182276</xdr:rowOff>
    </xdr:from>
    <xdr:to>
      <xdr:col>34</xdr:col>
      <xdr:colOff>599607</xdr:colOff>
      <xdr:row>36</xdr:row>
      <xdr:rowOff>62458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5A700-367B-7EBF-D039-01E188414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6247</xdr:colOff>
      <xdr:row>18</xdr:row>
      <xdr:rowOff>146153</xdr:rowOff>
    </xdr:from>
    <xdr:to>
      <xdr:col>48</xdr:col>
      <xdr:colOff>24985</xdr:colOff>
      <xdr:row>37</xdr:row>
      <xdr:rowOff>37475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F5D2C5-DEDB-257B-92B2-02D91390A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6245</xdr:colOff>
      <xdr:row>18</xdr:row>
      <xdr:rowOff>8743</xdr:rowOff>
    </xdr:from>
    <xdr:to>
      <xdr:col>60</xdr:col>
      <xdr:colOff>574623</xdr:colOff>
      <xdr:row>35</xdr:row>
      <xdr:rowOff>174884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48F17B-16F2-771B-E2DE-6A37E39BC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71</xdr:row>
          <xdr:rowOff>0</xdr:rowOff>
        </xdr:from>
        <xdr:to>
          <xdr:col>5</xdr:col>
          <xdr:colOff>541020</xdr:colOff>
          <xdr:row>75</xdr:row>
          <xdr:rowOff>152711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1D895EEF-BFD2-2AF0-A381-88E890DEE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2"/>
  <sheetViews>
    <sheetView zoomScale="63" zoomScaleNormal="73" workbookViewId="0">
      <selection activeCell="O17" sqref="O17"/>
    </sheetView>
  </sheetViews>
  <sheetFormatPr defaultRowHeight="14.4" x14ac:dyDescent="0.3"/>
  <cols>
    <col min="1" max="1" width="30" bestFit="1" customWidth="1"/>
    <col min="2" max="13" width="10.33203125" bestFit="1" customWidth="1"/>
    <col min="14" max="14" width="10.33203125" style="61" customWidth="1"/>
    <col min="16" max="16" width="27" bestFit="1" customWidth="1"/>
    <col min="17" max="17" width="9.77734375" bestFit="1" customWidth="1"/>
    <col min="18" max="28" width="9.88671875" bestFit="1" customWidth="1"/>
    <col min="31" max="31" width="23.77734375" bestFit="1" customWidth="1"/>
  </cols>
  <sheetData>
    <row r="1" spans="1:44" x14ac:dyDescent="0.3">
      <c r="A1" s="26" t="s">
        <v>45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8</v>
      </c>
      <c r="J1" s="27" t="s">
        <v>9</v>
      </c>
      <c r="K1" s="26" t="s">
        <v>10</v>
      </c>
      <c r="L1" s="26" t="s">
        <v>11</v>
      </c>
      <c r="M1" s="26" t="s">
        <v>12</v>
      </c>
      <c r="N1" s="57"/>
      <c r="P1" s="55" t="s">
        <v>45</v>
      </c>
      <c r="Q1" s="10" t="s">
        <v>1</v>
      </c>
      <c r="R1" s="10" t="s">
        <v>2</v>
      </c>
      <c r="S1" s="10" t="s">
        <v>3</v>
      </c>
      <c r="T1" s="10" t="s">
        <v>4</v>
      </c>
      <c r="U1" s="10" t="s">
        <v>5</v>
      </c>
      <c r="V1" s="10" t="s">
        <v>6</v>
      </c>
      <c r="W1" s="10" t="s">
        <v>7</v>
      </c>
      <c r="X1" s="7" t="s">
        <v>8</v>
      </c>
      <c r="Y1" s="7" t="s">
        <v>9</v>
      </c>
      <c r="Z1" s="10" t="s">
        <v>10</v>
      </c>
      <c r="AA1" s="10" t="s">
        <v>11</v>
      </c>
      <c r="AB1" s="10" t="s">
        <v>12</v>
      </c>
    </row>
    <row r="2" spans="1:44" x14ac:dyDescent="0.3">
      <c r="A2" s="28" t="s">
        <v>13</v>
      </c>
      <c r="B2" s="29">
        <v>44542</v>
      </c>
      <c r="C2" s="29">
        <v>50801</v>
      </c>
      <c r="D2" s="29">
        <v>57589</v>
      </c>
      <c r="E2" s="29">
        <v>68085</v>
      </c>
      <c r="F2" s="29">
        <v>79809</v>
      </c>
      <c r="G2" s="29">
        <v>86068</v>
      </c>
      <c r="H2" s="29">
        <v>75660</v>
      </c>
      <c r="I2" s="11">
        <v>70372</v>
      </c>
      <c r="J2" s="11">
        <v>88330</v>
      </c>
      <c r="K2" s="29">
        <v>117571</v>
      </c>
      <c r="L2" s="29">
        <v>141858</v>
      </c>
      <c r="M2" s="29">
        <v>152913</v>
      </c>
      <c r="N2" s="58"/>
      <c r="P2" s="3" t="s">
        <v>34</v>
      </c>
      <c r="Q2" s="1">
        <v>4995</v>
      </c>
      <c r="R2" s="1">
        <v>6449</v>
      </c>
      <c r="S2" s="1">
        <v>8482</v>
      </c>
      <c r="T2" s="1">
        <v>10282</v>
      </c>
      <c r="U2" s="1">
        <v>11788</v>
      </c>
      <c r="V2" s="1">
        <v>6601</v>
      </c>
      <c r="W2" s="1">
        <v>3496</v>
      </c>
      <c r="X2" s="8">
        <v>8856</v>
      </c>
      <c r="Y2" s="8">
        <v>1840</v>
      </c>
      <c r="Z2" s="1">
        <v>9251</v>
      </c>
      <c r="AA2" s="1">
        <v>16801</v>
      </c>
      <c r="AB2" s="1">
        <v>16136</v>
      </c>
      <c r="AE2" s="26" t="s">
        <v>45</v>
      </c>
      <c r="AF2" s="26" t="s">
        <v>1</v>
      </c>
      <c r="AG2" s="26" t="s">
        <v>2</v>
      </c>
      <c r="AH2" s="26" t="s">
        <v>3</v>
      </c>
      <c r="AI2" s="26" t="s">
        <v>4</v>
      </c>
      <c r="AJ2" s="26" t="s">
        <v>5</v>
      </c>
      <c r="AK2" s="26" t="s">
        <v>6</v>
      </c>
      <c r="AL2" s="26" t="s">
        <v>7</v>
      </c>
      <c r="AM2" s="27" t="s">
        <v>8</v>
      </c>
      <c r="AN2" s="27" t="s">
        <v>9</v>
      </c>
      <c r="AO2" s="26" t="s">
        <v>10</v>
      </c>
      <c r="AP2" s="26" t="s">
        <v>11</v>
      </c>
      <c r="AQ2" s="26" t="s">
        <v>12</v>
      </c>
      <c r="AR2" s="26"/>
    </row>
    <row r="3" spans="1:44" x14ac:dyDescent="0.3">
      <c r="A3" s="28" t="s">
        <v>14</v>
      </c>
      <c r="B3" s="29">
        <v>39232</v>
      </c>
      <c r="C3" s="29">
        <v>43909</v>
      </c>
      <c r="D3" s="29">
        <v>48565</v>
      </c>
      <c r="E3" s="29">
        <v>57664</v>
      </c>
      <c r="F3" s="29">
        <v>67692</v>
      </c>
      <c r="G3" s="29">
        <v>75012</v>
      </c>
      <c r="H3" s="29">
        <v>68305</v>
      </c>
      <c r="I3" s="11">
        <v>64961</v>
      </c>
      <c r="J3" s="11">
        <v>82578</v>
      </c>
      <c r="K3" s="29">
        <v>106542</v>
      </c>
      <c r="L3" s="29">
        <v>123232</v>
      </c>
      <c r="M3" s="29">
        <v>132689</v>
      </c>
      <c r="N3" s="58"/>
      <c r="P3" s="3" t="s">
        <v>35</v>
      </c>
      <c r="Q3" s="1">
        <v>5111</v>
      </c>
      <c r="R3" s="1">
        <v>6779</v>
      </c>
      <c r="S3" s="1">
        <v>8935</v>
      </c>
      <c r="T3" s="1">
        <v>10413</v>
      </c>
      <c r="U3" s="1">
        <v>12036</v>
      </c>
      <c r="V3" s="1">
        <v>11060</v>
      </c>
      <c r="W3" s="1">
        <v>7503</v>
      </c>
      <c r="X3" s="8">
        <v>5531</v>
      </c>
      <c r="Y3" s="8">
        <v>5832</v>
      </c>
      <c r="Z3" s="1">
        <v>11112</v>
      </c>
      <c r="AA3" s="1">
        <v>18676</v>
      </c>
      <c r="AB3" s="1">
        <v>20322</v>
      </c>
      <c r="AE3" s="28" t="s">
        <v>56</v>
      </c>
      <c r="AF3" s="29">
        <v>151</v>
      </c>
      <c r="AG3" s="29">
        <v>151</v>
      </c>
      <c r="AH3" s="29">
        <v>151</v>
      </c>
      <c r="AI3" s="29">
        <v>151</v>
      </c>
      <c r="AJ3" s="29">
        <v>151</v>
      </c>
      <c r="AK3" s="29">
        <v>151</v>
      </c>
      <c r="AL3" s="29">
        <v>151</v>
      </c>
      <c r="AM3" s="11">
        <v>151</v>
      </c>
      <c r="AN3" s="11">
        <v>151</v>
      </c>
      <c r="AO3" s="29">
        <v>151</v>
      </c>
      <c r="AP3" s="29">
        <v>157</v>
      </c>
      <c r="AQ3" s="29">
        <v>157</v>
      </c>
      <c r="AR3" s="28">
        <v>157</v>
      </c>
    </row>
    <row r="4" spans="1:44" x14ac:dyDescent="0.3">
      <c r="A4" s="28" t="s">
        <v>15</v>
      </c>
      <c r="B4" s="29">
        <v>5310</v>
      </c>
      <c r="C4" s="29">
        <v>6892</v>
      </c>
      <c r="D4" s="29">
        <v>9024</v>
      </c>
      <c r="E4" s="29">
        <v>10421</v>
      </c>
      <c r="F4" s="29">
        <v>12118</v>
      </c>
      <c r="G4" s="29">
        <v>11056</v>
      </c>
      <c r="H4" s="29">
        <v>7355</v>
      </c>
      <c r="I4" s="11">
        <v>5411</v>
      </c>
      <c r="J4" s="11">
        <v>5752</v>
      </c>
      <c r="K4" s="29">
        <v>11029</v>
      </c>
      <c r="L4" s="29">
        <v>18626</v>
      </c>
      <c r="M4" s="29">
        <v>20224</v>
      </c>
      <c r="N4" s="58"/>
      <c r="P4" s="3" t="s">
        <v>36</v>
      </c>
      <c r="Q4" s="1">
        <v>46</v>
      </c>
      <c r="R4" s="1">
        <v>345</v>
      </c>
      <c r="S4" s="1">
        <v>-204</v>
      </c>
      <c r="T4" s="1">
        <v>122</v>
      </c>
      <c r="U4" s="1">
        <v>-262</v>
      </c>
      <c r="V4" s="12">
        <v>-851</v>
      </c>
      <c r="W4" s="5">
        <v>340</v>
      </c>
      <c r="X4" s="8">
        <v>696</v>
      </c>
      <c r="Y4" s="8">
        <v>-764</v>
      </c>
      <c r="Z4" s="1">
        <v>-1258</v>
      </c>
      <c r="AA4" s="1">
        <v>-1316</v>
      </c>
      <c r="AB4" s="1">
        <v>-1969</v>
      </c>
      <c r="AE4" s="28" t="s">
        <v>57</v>
      </c>
      <c r="AF4" s="29">
        <v>21345</v>
      </c>
      <c r="AG4" s="29">
        <v>24167</v>
      </c>
      <c r="AH4" s="29">
        <v>30465</v>
      </c>
      <c r="AI4" s="29">
        <v>36924</v>
      </c>
      <c r="AJ4" s="29">
        <v>42408</v>
      </c>
      <c r="AK4" s="29">
        <v>46941</v>
      </c>
      <c r="AL4" s="29">
        <v>49262</v>
      </c>
      <c r="AM4" s="11">
        <v>52350</v>
      </c>
      <c r="AN4" s="11">
        <v>55182</v>
      </c>
      <c r="AO4" s="29">
        <v>61640</v>
      </c>
      <c r="AP4" s="29">
        <v>85479</v>
      </c>
      <c r="AQ4" s="29">
        <v>96083</v>
      </c>
      <c r="AR4" s="28">
        <v>99587</v>
      </c>
    </row>
    <row r="5" spans="1:44" x14ac:dyDescent="0.3">
      <c r="A5" s="28" t="s">
        <v>16</v>
      </c>
      <c r="B5" s="29">
        <v>12</v>
      </c>
      <c r="C5" s="29">
        <v>14</v>
      </c>
      <c r="D5" s="29">
        <v>16</v>
      </c>
      <c r="E5" s="29">
        <v>15</v>
      </c>
      <c r="F5" s="29">
        <v>15</v>
      </c>
      <c r="G5" s="29">
        <v>13</v>
      </c>
      <c r="H5" s="29">
        <v>10</v>
      </c>
      <c r="I5" s="11">
        <v>8</v>
      </c>
      <c r="J5" s="11">
        <v>7</v>
      </c>
      <c r="K5" s="29">
        <v>9</v>
      </c>
      <c r="L5" s="29">
        <v>13</v>
      </c>
      <c r="M5" s="29">
        <v>13</v>
      </c>
      <c r="N5" s="58"/>
      <c r="P5" s="3" t="s">
        <v>37</v>
      </c>
      <c r="Q5" s="1">
        <v>124</v>
      </c>
      <c r="R5" s="1">
        <v>-982</v>
      </c>
      <c r="S5" s="1">
        <v>-450</v>
      </c>
      <c r="T5" s="1">
        <v>-131</v>
      </c>
      <c r="U5" s="1">
        <v>104</v>
      </c>
      <c r="V5" s="12">
        <v>-162</v>
      </c>
      <c r="W5" s="1">
        <v>109</v>
      </c>
      <c r="X5" s="8">
        <v>165</v>
      </c>
      <c r="Y5" s="8">
        <v>-483</v>
      </c>
      <c r="Z5" s="1">
        <v>-751</v>
      </c>
      <c r="AA5" s="1">
        <v>125</v>
      </c>
      <c r="AB5" s="1">
        <v>-1595</v>
      </c>
      <c r="AE5" s="28" t="s">
        <v>91</v>
      </c>
      <c r="AF5" s="29">
        <v>2004</v>
      </c>
      <c r="AG5" s="29">
        <v>666</v>
      </c>
      <c r="AH5" s="29">
        <v>231</v>
      </c>
      <c r="AI5" s="29">
        <v>484</v>
      </c>
      <c r="AJ5" s="29">
        <v>121</v>
      </c>
      <c r="AK5" s="29">
        <v>160</v>
      </c>
      <c r="AL5" s="29">
        <v>184</v>
      </c>
      <c r="AM5" s="11">
        <v>541</v>
      </c>
      <c r="AN5" s="11">
        <v>426</v>
      </c>
      <c r="AO5" s="29">
        <v>1247</v>
      </c>
      <c r="AP5" s="29">
        <v>119</v>
      </c>
      <c r="AQ5" s="29">
        <v>87</v>
      </c>
      <c r="AR5" s="28">
        <v>100</v>
      </c>
    </row>
    <row r="6" spans="1:44" x14ac:dyDescent="0.3">
      <c r="A6" s="28" t="s">
        <v>17</v>
      </c>
      <c r="B6" s="29">
        <v>724</v>
      </c>
      <c r="C6" s="29">
        <v>817</v>
      </c>
      <c r="D6" s="29">
        <v>1464</v>
      </c>
      <c r="E6" s="29">
        <v>2399</v>
      </c>
      <c r="F6" s="29">
        <v>2155</v>
      </c>
      <c r="G6" s="29">
        <v>2664</v>
      </c>
      <c r="H6" s="29">
        <v>3410</v>
      </c>
      <c r="I6" s="11">
        <v>3046</v>
      </c>
      <c r="J6" s="11">
        <v>1861</v>
      </c>
      <c r="K6" s="29">
        <v>2307</v>
      </c>
      <c r="L6" s="29">
        <v>4248</v>
      </c>
      <c r="M6" s="29">
        <v>5199</v>
      </c>
      <c r="N6" s="58"/>
      <c r="P6" s="3" t="s">
        <v>38</v>
      </c>
      <c r="Q6" s="1">
        <v>813</v>
      </c>
      <c r="R6" s="1">
        <v>712</v>
      </c>
      <c r="S6" s="1">
        <v>1789</v>
      </c>
      <c r="T6" s="1">
        <v>979</v>
      </c>
      <c r="U6" s="1">
        <v>2128</v>
      </c>
      <c r="V6" s="5">
        <v>-858</v>
      </c>
      <c r="W6" s="5">
        <v>-2155</v>
      </c>
      <c r="X6" s="8">
        <v>2680</v>
      </c>
      <c r="Y6" s="8">
        <v>-396</v>
      </c>
      <c r="Z6" s="1">
        <v>2008</v>
      </c>
      <c r="AA6" s="1">
        <v>3321</v>
      </c>
      <c r="AB6" s="1">
        <v>3509</v>
      </c>
      <c r="AE6" s="28" t="s">
        <v>59</v>
      </c>
      <c r="AF6" s="29">
        <v>627</v>
      </c>
      <c r="AG6" s="29">
        <v>278</v>
      </c>
      <c r="AH6" s="29">
        <v>0</v>
      </c>
      <c r="AI6" s="29">
        <v>0</v>
      </c>
      <c r="AJ6" s="29">
        <v>10</v>
      </c>
      <c r="AK6" s="29">
        <v>8</v>
      </c>
      <c r="AL6" s="29">
        <v>5</v>
      </c>
      <c r="AM6" s="11">
        <v>3</v>
      </c>
      <c r="AN6" s="11">
        <v>0</v>
      </c>
      <c r="AO6" s="29">
        <v>0</v>
      </c>
      <c r="AP6" s="29">
        <v>0</v>
      </c>
      <c r="AQ6" s="29">
        <v>0</v>
      </c>
      <c r="AR6" s="28">
        <v>0</v>
      </c>
    </row>
    <row r="7" spans="1:44" x14ac:dyDescent="0.3">
      <c r="A7" s="28" t="s">
        <v>18</v>
      </c>
      <c r="B7" s="29">
        <v>184</v>
      </c>
      <c r="C7" s="29">
        <v>218</v>
      </c>
      <c r="D7" s="29">
        <v>82</v>
      </c>
      <c r="E7" s="29">
        <v>89</v>
      </c>
      <c r="F7" s="29">
        <v>346</v>
      </c>
      <c r="G7" s="29">
        <v>76</v>
      </c>
      <c r="H7" s="29">
        <v>134</v>
      </c>
      <c r="I7" s="11">
        <v>102</v>
      </c>
      <c r="J7" s="11">
        <v>127</v>
      </c>
      <c r="K7" s="29">
        <v>187</v>
      </c>
      <c r="L7" s="29">
        <v>194</v>
      </c>
      <c r="M7" s="29">
        <v>194</v>
      </c>
      <c r="N7" s="58"/>
      <c r="P7" s="3" t="s">
        <v>39</v>
      </c>
      <c r="Q7" s="1">
        <v>-563</v>
      </c>
      <c r="R7" s="1">
        <v>23</v>
      </c>
      <c r="S7" s="1">
        <v>-1</v>
      </c>
      <c r="T7" s="1">
        <v>1</v>
      </c>
      <c r="U7" s="1">
        <v>0</v>
      </c>
      <c r="V7" s="1">
        <v>-13</v>
      </c>
      <c r="W7" s="1">
        <v>-1</v>
      </c>
      <c r="X7" s="8">
        <v>-6</v>
      </c>
      <c r="Y7" s="8">
        <v>-8</v>
      </c>
      <c r="Z7" s="1">
        <v>1</v>
      </c>
      <c r="AA7" s="1">
        <v>-3</v>
      </c>
      <c r="AB7" s="1">
        <v>-10</v>
      </c>
      <c r="AE7" s="28" t="s">
        <v>60</v>
      </c>
      <c r="AF7" s="29">
        <v>1238</v>
      </c>
      <c r="AG7" s="29">
        <v>52</v>
      </c>
      <c r="AH7" s="29">
        <v>77</v>
      </c>
      <c r="AI7" s="29">
        <v>484</v>
      </c>
      <c r="AJ7" s="29">
        <v>111</v>
      </c>
      <c r="AK7" s="29">
        <v>150</v>
      </c>
      <c r="AL7" s="29">
        <v>106</v>
      </c>
      <c r="AM7" s="11">
        <v>489</v>
      </c>
      <c r="AN7" s="11">
        <v>382</v>
      </c>
      <c r="AO7" s="29">
        <v>1216</v>
      </c>
      <c r="AP7" s="29">
        <v>33</v>
      </c>
      <c r="AQ7" s="29">
        <v>0</v>
      </c>
      <c r="AR7" s="28">
        <v>0</v>
      </c>
    </row>
    <row r="8" spans="1:44" x14ac:dyDescent="0.3">
      <c r="A8" s="28" t="s">
        <v>19</v>
      </c>
      <c r="B8" s="29">
        <v>2116</v>
      </c>
      <c r="C8" s="29">
        <v>2515</v>
      </c>
      <c r="D8" s="29">
        <v>2822</v>
      </c>
      <c r="E8" s="29">
        <v>2604</v>
      </c>
      <c r="F8" s="29">
        <v>2760</v>
      </c>
      <c r="G8" s="29">
        <v>3021</v>
      </c>
      <c r="H8" s="29">
        <v>3528</v>
      </c>
      <c r="I8" s="11">
        <v>3034</v>
      </c>
      <c r="J8" s="11">
        <v>2789</v>
      </c>
      <c r="K8" s="29">
        <v>2826</v>
      </c>
      <c r="L8" s="29">
        <v>5256</v>
      </c>
      <c r="M8" s="29">
        <v>5608</v>
      </c>
      <c r="N8" s="58"/>
      <c r="P8" s="3" t="s">
        <v>40</v>
      </c>
      <c r="Q8" s="1">
        <v>321</v>
      </c>
      <c r="R8" s="1">
        <v>648</v>
      </c>
      <c r="S8" s="1">
        <v>325</v>
      </c>
      <c r="T8" s="1">
        <v>1222</v>
      </c>
      <c r="U8" s="1">
        <v>839</v>
      </c>
      <c r="V8" s="1">
        <v>569</v>
      </c>
      <c r="W8" s="1">
        <v>-863</v>
      </c>
      <c r="X8" s="8">
        <v>801</v>
      </c>
      <c r="Y8" s="8">
        <v>-1162</v>
      </c>
      <c r="Z8" s="1">
        <v>374</v>
      </c>
      <c r="AA8" s="1">
        <v>-406</v>
      </c>
      <c r="AB8" s="1">
        <v>-313</v>
      </c>
      <c r="AE8" s="28" t="s">
        <v>61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70</v>
      </c>
      <c r="AM8" s="11">
        <v>47</v>
      </c>
      <c r="AN8" s="11">
        <v>41</v>
      </c>
      <c r="AO8" s="29">
        <v>32</v>
      </c>
      <c r="AP8" s="29">
        <v>86</v>
      </c>
      <c r="AQ8" s="29">
        <v>87</v>
      </c>
      <c r="AR8" s="28">
        <v>100</v>
      </c>
    </row>
    <row r="9" spans="1:44" x14ac:dyDescent="0.3">
      <c r="A9" s="28" t="s">
        <v>20</v>
      </c>
      <c r="B9" s="29">
        <v>3734</v>
      </c>
      <c r="C9" s="29">
        <v>4976</v>
      </c>
      <c r="D9" s="29">
        <v>7585</v>
      </c>
      <c r="E9" s="29">
        <v>10127</v>
      </c>
      <c r="F9" s="29">
        <v>11167</v>
      </c>
      <c r="G9" s="29">
        <v>10624</v>
      </c>
      <c r="H9" s="29">
        <v>7103</v>
      </c>
      <c r="I9" s="11">
        <v>5321</v>
      </c>
      <c r="J9" s="11">
        <v>4697</v>
      </c>
      <c r="K9" s="29">
        <v>10323</v>
      </c>
      <c r="L9" s="29">
        <v>17424</v>
      </c>
      <c r="M9" s="29">
        <v>19620</v>
      </c>
      <c r="N9" s="58"/>
      <c r="P9" s="3" t="s">
        <v>42</v>
      </c>
      <c r="Q9" s="1">
        <f>Q4+Q5+Q6+Q7+Q8</f>
        <v>741</v>
      </c>
      <c r="R9" s="1">
        <f t="shared" ref="R9:AB9" si="0">R4+R5+R6+R7+R8</f>
        <v>746</v>
      </c>
      <c r="S9" s="1">
        <f t="shared" si="0"/>
        <v>1459</v>
      </c>
      <c r="T9" s="1">
        <f t="shared" si="0"/>
        <v>2193</v>
      </c>
      <c r="U9" s="1">
        <f t="shared" si="0"/>
        <v>2809</v>
      </c>
      <c r="V9" s="6">
        <f t="shared" si="0"/>
        <v>-1315</v>
      </c>
      <c r="W9" s="6">
        <f t="shared" si="0"/>
        <v>-2570</v>
      </c>
      <c r="X9" s="8">
        <f t="shared" si="0"/>
        <v>4336</v>
      </c>
      <c r="Y9" s="8">
        <f t="shared" si="0"/>
        <v>-2813</v>
      </c>
      <c r="Z9" s="1">
        <f t="shared" si="0"/>
        <v>374</v>
      </c>
      <c r="AA9" s="1">
        <f t="shared" si="0"/>
        <v>1721</v>
      </c>
      <c r="AB9" s="1">
        <f t="shared" si="0"/>
        <v>-378</v>
      </c>
      <c r="AE9" s="28" t="s">
        <v>62</v>
      </c>
      <c r="AF9" s="29">
        <v>139</v>
      </c>
      <c r="AG9" s="29">
        <v>335</v>
      </c>
      <c r="AH9" s="29">
        <v>154</v>
      </c>
      <c r="AI9" s="29">
        <v>0</v>
      </c>
      <c r="AJ9" s="29">
        <v>0</v>
      </c>
      <c r="AK9" s="29">
        <v>2</v>
      </c>
      <c r="AL9" s="29">
        <v>2</v>
      </c>
      <c r="AM9" s="11">
        <v>3</v>
      </c>
      <c r="AN9" s="11">
        <v>3</v>
      </c>
      <c r="AO9" s="29">
        <v>0</v>
      </c>
      <c r="AP9" s="29">
        <v>0</v>
      </c>
      <c r="AQ9" s="29">
        <v>0</v>
      </c>
      <c r="AR9" s="28"/>
    </row>
    <row r="10" spans="1:44" x14ac:dyDescent="0.3">
      <c r="A10" s="28" t="s">
        <v>21</v>
      </c>
      <c r="B10" s="29">
        <v>24</v>
      </c>
      <c r="C10" s="29">
        <v>24</v>
      </c>
      <c r="D10" s="29">
        <v>28</v>
      </c>
      <c r="E10" s="29">
        <v>26</v>
      </c>
      <c r="F10" s="29">
        <v>29</v>
      </c>
      <c r="G10" s="29">
        <v>28</v>
      </c>
      <c r="H10" s="29">
        <v>20</v>
      </c>
      <c r="I10" s="11">
        <v>18</v>
      </c>
      <c r="J10" s="11">
        <v>17</v>
      </c>
      <c r="K10" s="29">
        <v>20</v>
      </c>
      <c r="L10" s="29">
        <v>23</v>
      </c>
      <c r="M10" s="29">
        <v>26</v>
      </c>
      <c r="N10" s="58"/>
      <c r="P10" s="3" t="s">
        <v>41</v>
      </c>
      <c r="Q10" s="1">
        <v>-858</v>
      </c>
      <c r="R10" s="1">
        <v>-1075</v>
      </c>
      <c r="S10" s="1">
        <v>-1912</v>
      </c>
      <c r="T10" s="1">
        <v>-2323</v>
      </c>
      <c r="U10" s="1">
        <v>-3056</v>
      </c>
      <c r="V10" s="1">
        <v>-3144</v>
      </c>
      <c r="W10" s="1">
        <v>-1438</v>
      </c>
      <c r="X10" s="8">
        <v>-1011</v>
      </c>
      <c r="Y10" s="8">
        <v>-1178</v>
      </c>
      <c r="Z10" s="1">
        <v>-2233</v>
      </c>
      <c r="AA10" s="1">
        <v>-3597</v>
      </c>
      <c r="AB10" s="1">
        <v>-3807</v>
      </c>
      <c r="AE10" s="28" t="s">
        <v>92</v>
      </c>
      <c r="AF10" s="29">
        <v>7975</v>
      </c>
      <c r="AG10" s="29">
        <v>9492</v>
      </c>
      <c r="AH10" s="29">
        <v>11879</v>
      </c>
      <c r="AI10" s="29">
        <v>14402</v>
      </c>
      <c r="AJ10" s="29">
        <v>17568</v>
      </c>
      <c r="AK10" s="29">
        <v>16717</v>
      </c>
      <c r="AL10" s="29">
        <v>14031</v>
      </c>
      <c r="AM10" s="11">
        <v>18335</v>
      </c>
      <c r="AN10" s="11">
        <v>18896</v>
      </c>
      <c r="AO10" s="29">
        <v>21558</v>
      </c>
      <c r="AP10" s="29">
        <v>29550</v>
      </c>
      <c r="AQ10" s="29">
        <v>35644</v>
      </c>
      <c r="AR10" s="28">
        <v>38609</v>
      </c>
    </row>
    <row r="11" spans="1:44" x14ac:dyDescent="0.3">
      <c r="A11" s="28" t="s">
        <v>22</v>
      </c>
      <c r="B11" s="29">
        <v>2854</v>
      </c>
      <c r="C11" s="29">
        <v>3809</v>
      </c>
      <c r="D11" s="29">
        <v>5497</v>
      </c>
      <c r="E11" s="29">
        <v>7511</v>
      </c>
      <c r="F11" s="29">
        <v>7881</v>
      </c>
      <c r="G11" s="29">
        <v>7651</v>
      </c>
      <c r="H11" s="29">
        <v>5678</v>
      </c>
      <c r="I11" s="11">
        <v>4389</v>
      </c>
      <c r="J11" s="11">
        <v>3880</v>
      </c>
      <c r="K11" s="29">
        <v>8211</v>
      </c>
      <c r="L11" s="29">
        <v>13488</v>
      </c>
      <c r="M11" s="29">
        <v>14500</v>
      </c>
      <c r="N11" s="58"/>
      <c r="AE11" s="28" t="s">
        <v>64</v>
      </c>
      <c r="AF11" s="29">
        <v>12</v>
      </c>
      <c r="AG11" s="29">
        <v>13</v>
      </c>
      <c r="AH11" s="29">
        <v>14</v>
      </c>
      <c r="AI11" s="29">
        <v>15</v>
      </c>
      <c r="AJ11" s="29">
        <v>16</v>
      </c>
      <c r="AK11" s="29">
        <v>18</v>
      </c>
      <c r="AL11" s="29">
        <v>19</v>
      </c>
      <c r="AM11" s="11">
        <v>0</v>
      </c>
      <c r="AN11" s="11">
        <v>0</v>
      </c>
      <c r="AO11" s="29">
        <v>0</v>
      </c>
      <c r="AP11" s="29">
        <v>0</v>
      </c>
      <c r="AQ11" s="29">
        <v>0</v>
      </c>
      <c r="AR11" s="28">
        <v>0</v>
      </c>
    </row>
    <row r="12" spans="1:44" x14ac:dyDescent="0.3">
      <c r="A12" s="28" t="s">
        <v>23</v>
      </c>
      <c r="B12" s="29">
        <v>94.44</v>
      </c>
      <c r="C12" s="29">
        <v>126.04</v>
      </c>
      <c r="D12" s="29">
        <v>181.98</v>
      </c>
      <c r="E12" s="29">
        <v>248.61</v>
      </c>
      <c r="F12" s="29">
        <v>260.86</v>
      </c>
      <c r="G12" s="29">
        <v>253.21</v>
      </c>
      <c r="H12" s="29">
        <v>187.9</v>
      </c>
      <c r="I12" s="11">
        <v>145.30000000000001</v>
      </c>
      <c r="J12" s="11">
        <v>128.43</v>
      </c>
      <c r="K12" s="29">
        <v>271.82</v>
      </c>
      <c r="L12" s="29">
        <v>429.01</v>
      </c>
      <c r="M12" s="29">
        <v>461.2</v>
      </c>
      <c r="N12" s="58"/>
      <c r="AE12" s="28" t="s">
        <v>65</v>
      </c>
      <c r="AF12" s="29">
        <v>4999</v>
      </c>
      <c r="AG12" s="29">
        <v>5514</v>
      </c>
      <c r="AH12" s="29">
        <v>7409</v>
      </c>
      <c r="AI12" s="29">
        <v>8369</v>
      </c>
      <c r="AJ12" s="29">
        <v>10499</v>
      </c>
      <c r="AK12" s="29">
        <v>9638</v>
      </c>
      <c r="AL12" s="29">
        <v>7499</v>
      </c>
      <c r="AM12" s="11">
        <v>10168</v>
      </c>
      <c r="AN12" s="11">
        <v>9765</v>
      </c>
      <c r="AO12" s="29">
        <v>11786</v>
      </c>
      <c r="AP12" s="29">
        <v>16988</v>
      </c>
      <c r="AQ12" s="29">
        <v>20502</v>
      </c>
      <c r="AR12" s="28">
        <v>22282</v>
      </c>
    </row>
    <row r="13" spans="1:44" x14ac:dyDescent="0.3">
      <c r="A13" s="28" t="s">
        <v>24</v>
      </c>
      <c r="B13" s="29">
        <v>13</v>
      </c>
      <c r="C13" s="29">
        <v>20</v>
      </c>
      <c r="D13" s="29">
        <v>19</v>
      </c>
      <c r="E13" s="29">
        <v>30</v>
      </c>
      <c r="F13" s="29">
        <v>31</v>
      </c>
      <c r="G13" s="29">
        <v>32</v>
      </c>
      <c r="H13" s="29">
        <v>32</v>
      </c>
      <c r="I13" s="11">
        <v>31</v>
      </c>
      <c r="J13" s="11">
        <v>47</v>
      </c>
      <c r="K13" s="29">
        <v>33</v>
      </c>
      <c r="L13" s="29">
        <v>29</v>
      </c>
      <c r="M13" s="29">
        <v>29</v>
      </c>
      <c r="N13" s="58"/>
      <c r="AE13" s="28" t="s">
        <v>66</v>
      </c>
      <c r="AF13" s="29">
        <v>209</v>
      </c>
      <c r="AG13" s="29">
        <v>428</v>
      </c>
      <c r="AH13" s="29">
        <v>506</v>
      </c>
      <c r="AI13" s="29">
        <v>941</v>
      </c>
      <c r="AJ13" s="29">
        <v>1152</v>
      </c>
      <c r="AK13" s="29">
        <v>418</v>
      </c>
      <c r="AL13" s="29">
        <v>468</v>
      </c>
      <c r="AM13" s="11">
        <v>1019</v>
      </c>
      <c r="AN13" s="11">
        <v>1124</v>
      </c>
      <c r="AO13" s="29">
        <v>1456</v>
      </c>
      <c r="AP13" s="29">
        <v>1464</v>
      </c>
      <c r="AQ13" s="29">
        <v>1135</v>
      </c>
      <c r="AR13" s="28"/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N14" s="58"/>
      <c r="AE14" s="28" t="s">
        <v>67</v>
      </c>
      <c r="AF14" s="29">
        <v>2755</v>
      </c>
      <c r="AG14" s="29">
        <v>3538</v>
      </c>
      <c r="AH14" s="29">
        <v>3950</v>
      </c>
      <c r="AI14" s="29">
        <v>5076</v>
      </c>
      <c r="AJ14" s="29">
        <v>5900</v>
      </c>
      <c r="AK14" s="29">
        <v>6644</v>
      </c>
      <c r="AL14" s="29">
        <v>6045</v>
      </c>
      <c r="AM14" s="11">
        <v>7148</v>
      </c>
      <c r="AN14" s="11">
        <v>8007</v>
      </c>
      <c r="AO14" s="29">
        <v>8317</v>
      </c>
      <c r="AP14" s="29">
        <v>11098</v>
      </c>
      <c r="AQ14" s="29">
        <v>14008</v>
      </c>
      <c r="AR14" s="28">
        <v>16328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N15" s="59"/>
      <c r="AE15" s="26" t="s">
        <v>68</v>
      </c>
      <c r="AF15" s="26">
        <v>31476</v>
      </c>
      <c r="AG15" s="26">
        <v>34477</v>
      </c>
      <c r="AH15" s="26">
        <v>42726</v>
      </c>
      <c r="AI15" s="26">
        <v>51960</v>
      </c>
      <c r="AJ15" s="26">
        <v>60248</v>
      </c>
      <c r="AK15" s="26">
        <v>63969</v>
      </c>
      <c r="AL15" s="26">
        <v>63628</v>
      </c>
      <c r="AM15" s="27">
        <v>71376</v>
      </c>
      <c r="AN15" s="27">
        <v>74656</v>
      </c>
      <c r="AO15" s="26">
        <v>84597</v>
      </c>
      <c r="AP15" s="26">
        <v>115304</v>
      </c>
      <c r="AQ15" s="26">
        <v>131971</v>
      </c>
      <c r="AR15" s="26">
        <v>138453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N16" s="59"/>
      <c r="AE16" s="28" t="s">
        <v>93</v>
      </c>
      <c r="AF16" s="29">
        <v>11034</v>
      </c>
      <c r="AG16" s="29">
        <v>12490</v>
      </c>
      <c r="AH16" s="29">
        <v>12530</v>
      </c>
      <c r="AI16" s="29">
        <v>13311</v>
      </c>
      <c r="AJ16" s="29">
        <v>13389</v>
      </c>
      <c r="AK16" s="29">
        <v>15437</v>
      </c>
      <c r="AL16" s="29">
        <v>15744</v>
      </c>
      <c r="AM16" s="11">
        <v>14989</v>
      </c>
      <c r="AN16" s="11">
        <v>13747</v>
      </c>
      <c r="AO16" s="29">
        <v>17830</v>
      </c>
      <c r="AP16" s="29">
        <v>27865</v>
      </c>
      <c r="AQ16" s="29">
        <v>32983</v>
      </c>
      <c r="AR16" s="28">
        <v>35499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N17" s="58"/>
      <c r="AE17" s="28" t="s">
        <v>70</v>
      </c>
      <c r="AF17" s="29">
        <v>1630</v>
      </c>
      <c r="AG17" s="29">
        <v>2100</v>
      </c>
      <c r="AH17" s="29">
        <v>1902</v>
      </c>
      <c r="AI17" s="29">
        <v>1963</v>
      </c>
      <c r="AJ17" s="29">
        <v>3212</v>
      </c>
      <c r="AK17" s="29">
        <v>3914</v>
      </c>
      <c r="AL17" s="29">
        <v>4569</v>
      </c>
      <c r="AM17" s="11">
        <v>4566</v>
      </c>
      <c r="AN17" s="11">
        <v>4592</v>
      </c>
      <c r="AO17" s="29">
        <v>6757</v>
      </c>
      <c r="AP17" s="29">
        <v>6896</v>
      </c>
      <c r="AQ17" s="29">
        <v>6921</v>
      </c>
      <c r="AR17" s="28"/>
    </row>
    <row r="18" spans="1:44" x14ac:dyDescent="0.3">
      <c r="A18" s="26" t="s">
        <v>0</v>
      </c>
      <c r="B18" s="30" t="s">
        <v>1</v>
      </c>
      <c r="C18" s="30" t="s">
        <v>2</v>
      </c>
      <c r="D18" s="30" t="s">
        <v>3</v>
      </c>
      <c r="E18" s="30" t="s">
        <v>4</v>
      </c>
      <c r="F18" s="30" t="s">
        <v>5</v>
      </c>
      <c r="G18" s="30" t="s">
        <v>6</v>
      </c>
      <c r="H18" s="30" t="s">
        <v>7</v>
      </c>
      <c r="I18" s="31" t="s">
        <v>8</v>
      </c>
      <c r="J18" s="31" t="s">
        <v>9</v>
      </c>
      <c r="K18" s="30" t="s">
        <v>10</v>
      </c>
      <c r="L18" s="30" t="s">
        <v>11</v>
      </c>
      <c r="M18" s="30" t="s">
        <v>12</v>
      </c>
      <c r="N18" s="60"/>
      <c r="AE18" s="28" t="s">
        <v>71</v>
      </c>
      <c r="AF18" s="29">
        <v>1760</v>
      </c>
      <c r="AG18" s="29">
        <v>1882</v>
      </c>
      <c r="AH18" s="29">
        <v>1513</v>
      </c>
      <c r="AI18" s="29">
        <v>1835</v>
      </c>
      <c r="AJ18" s="29">
        <v>1983</v>
      </c>
      <c r="AK18" s="29">
        <v>2333</v>
      </c>
      <c r="AL18" s="29">
        <v>2697</v>
      </c>
      <c r="AM18" s="11">
        <v>2831</v>
      </c>
      <c r="AN18" s="11">
        <v>2955</v>
      </c>
      <c r="AO18" s="29">
        <v>3206</v>
      </c>
      <c r="AP18" s="29">
        <v>5604</v>
      </c>
      <c r="AQ18" s="29">
        <v>8158</v>
      </c>
      <c r="AR18" s="28"/>
    </row>
    <row r="19" spans="1:44" x14ac:dyDescent="0.3">
      <c r="A19" s="28" t="s">
        <v>25</v>
      </c>
      <c r="B19" s="29">
        <v>4995</v>
      </c>
      <c r="C19" s="29">
        <v>6449</v>
      </c>
      <c r="D19" s="29">
        <v>8482</v>
      </c>
      <c r="E19" s="29">
        <v>10282</v>
      </c>
      <c r="F19" s="29">
        <v>11788</v>
      </c>
      <c r="G19" s="29">
        <v>6601</v>
      </c>
      <c r="H19" s="29">
        <v>3496</v>
      </c>
      <c r="I19" s="11">
        <v>8856</v>
      </c>
      <c r="J19" s="11">
        <v>1840</v>
      </c>
      <c r="K19" s="29">
        <v>9251</v>
      </c>
      <c r="L19" s="29">
        <v>16801</v>
      </c>
      <c r="M19" s="29">
        <v>16136</v>
      </c>
      <c r="N19" s="58"/>
      <c r="AE19" s="28" t="s">
        <v>72</v>
      </c>
      <c r="AF19" s="29">
        <v>18866</v>
      </c>
      <c r="AG19" s="29">
        <v>21802</v>
      </c>
      <c r="AH19" s="29">
        <v>11163</v>
      </c>
      <c r="AI19" s="29">
        <v>13888</v>
      </c>
      <c r="AJ19" s="29">
        <v>15082</v>
      </c>
      <c r="AK19" s="29">
        <v>18550</v>
      </c>
      <c r="AL19" s="29">
        <v>20775</v>
      </c>
      <c r="AM19" s="11">
        <v>22262</v>
      </c>
      <c r="AN19" s="11">
        <v>22712</v>
      </c>
      <c r="AO19" s="29">
        <v>26174</v>
      </c>
      <c r="AP19" s="29">
        <v>44745</v>
      </c>
      <c r="AQ19" s="29">
        <v>51915</v>
      </c>
      <c r="AR19" s="28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N20" s="58"/>
      <c r="AE20" s="28" t="s">
        <v>74</v>
      </c>
      <c r="AF20" s="29">
        <v>172</v>
      </c>
      <c r="AG20" s="29">
        <v>193</v>
      </c>
      <c r="AH20" s="29">
        <v>83</v>
      </c>
      <c r="AI20" s="29">
        <v>135</v>
      </c>
      <c r="AJ20" s="29">
        <v>172</v>
      </c>
      <c r="AK20" s="29">
        <v>208</v>
      </c>
      <c r="AL20" s="29">
        <v>238</v>
      </c>
      <c r="AM20" s="11">
        <v>292</v>
      </c>
      <c r="AN20" s="11">
        <v>324</v>
      </c>
      <c r="AO20" s="29">
        <v>368</v>
      </c>
      <c r="AP20" s="29">
        <v>601</v>
      </c>
      <c r="AQ20" s="29">
        <v>698</v>
      </c>
      <c r="AR20" s="28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N21" s="58"/>
      <c r="AE21" s="28" t="s">
        <v>75</v>
      </c>
      <c r="AF21" s="29">
        <v>133</v>
      </c>
      <c r="AG21" s="29">
        <v>144</v>
      </c>
      <c r="AH21" s="29">
        <v>109</v>
      </c>
      <c r="AI21" s="29">
        <v>140</v>
      </c>
      <c r="AJ21" s="29">
        <v>206</v>
      </c>
      <c r="AK21" s="29">
        <v>270</v>
      </c>
      <c r="AL21" s="29">
        <v>347</v>
      </c>
      <c r="AM21" s="11">
        <v>403</v>
      </c>
      <c r="AN21" s="11">
        <v>445</v>
      </c>
      <c r="AO21" s="29">
        <v>485</v>
      </c>
      <c r="AP21" s="29">
        <v>636</v>
      </c>
      <c r="AQ21" s="29">
        <v>698</v>
      </c>
      <c r="AR21" s="28"/>
    </row>
    <row r="22" spans="1:44" x14ac:dyDescent="0.3">
      <c r="A22" s="26" t="s">
        <v>26</v>
      </c>
      <c r="B22" s="29">
        <f>B11-B19</f>
        <v>-2141</v>
      </c>
      <c r="C22" s="29">
        <f t="shared" ref="C22:M22" si="1">C11-C19</f>
        <v>-2640</v>
      </c>
      <c r="D22" s="29">
        <f t="shared" si="1"/>
        <v>-2985</v>
      </c>
      <c r="E22" s="29">
        <f t="shared" si="1"/>
        <v>-2771</v>
      </c>
      <c r="F22" s="29">
        <f t="shared" si="1"/>
        <v>-3907</v>
      </c>
      <c r="G22" s="32">
        <f>G11-G19</f>
        <v>1050</v>
      </c>
      <c r="H22" s="32">
        <f t="shared" si="1"/>
        <v>2182</v>
      </c>
      <c r="I22" s="11">
        <f t="shared" si="1"/>
        <v>-4467</v>
      </c>
      <c r="J22" s="11">
        <f t="shared" si="1"/>
        <v>2040</v>
      </c>
      <c r="K22" s="29">
        <f t="shared" si="1"/>
        <v>-1040</v>
      </c>
      <c r="L22" s="29">
        <f t="shared" si="1"/>
        <v>-3313</v>
      </c>
      <c r="M22" s="29">
        <f t="shared" si="1"/>
        <v>-1636</v>
      </c>
      <c r="N22" s="58"/>
      <c r="AE22" s="28" t="s">
        <v>97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11">
        <v>0</v>
      </c>
      <c r="AN22" s="11">
        <v>0</v>
      </c>
      <c r="AO22" s="29">
        <v>73</v>
      </c>
      <c r="AP22" s="29">
        <v>74</v>
      </c>
      <c r="AQ22" s="29">
        <v>94</v>
      </c>
      <c r="AR22" s="28"/>
    </row>
    <row r="23" spans="1:44" x14ac:dyDescent="0.3">
      <c r="AE23" s="28" t="s">
        <v>76</v>
      </c>
      <c r="AF23" s="29">
        <v>92</v>
      </c>
      <c r="AG23" s="29">
        <v>108</v>
      </c>
      <c r="AH23" s="29">
        <v>104</v>
      </c>
      <c r="AI23" s="29">
        <v>130</v>
      </c>
      <c r="AJ23" s="29">
        <v>162</v>
      </c>
      <c r="AK23" s="29">
        <v>184</v>
      </c>
      <c r="AL23" s="29">
        <v>206</v>
      </c>
      <c r="AM23" s="11">
        <v>174</v>
      </c>
      <c r="AN23" s="11">
        <v>248</v>
      </c>
      <c r="AO23" s="29">
        <v>282</v>
      </c>
      <c r="AP23" s="29">
        <v>448</v>
      </c>
      <c r="AQ23" s="29">
        <v>568</v>
      </c>
      <c r="AR23" s="28"/>
    </row>
    <row r="24" spans="1:44" x14ac:dyDescent="0.3">
      <c r="AE24" s="28" t="s">
        <v>77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11">
        <v>0</v>
      </c>
      <c r="AN24" s="11">
        <v>0</v>
      </c>
      <c r="AO24" s="29">
        <v>0</v>
      </c>
      <c r="AP24" s="29">
        <v>0</v>
      </c>
      <c r="AQ24" s="29">
        <v>0</v>
      </c>
      <c r="AR24" s="28">
        <v>896</v>
      </c>
    </row>
    <row r="25" spans="1:44" x14ac:dyDescent="0.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AE25" s="28" t="s">
        <v>78</v>
      </c>
      <c r="AF25" s="29">
        <v>452</v>
      </c>
      <c r="AG25" s="29">
        <v>674</v>
      </c>
      <c r="AH25" s="29">
        <v>468</v>
      </c>
      <c r="AI25" s="29">
        <v>589</v>
      </c>
      <c r="AJ25" s="29">
        <v>640</v>
      </c>
      <c r="AK25" s="29">
        <v>907</v>
      </c>
      <c r="AL25" s="29">
        <v>937</v>
      </c>
      <c r="AM25" s="11">
        <v>967</v>
      </c>
      <c r="AN25" s="11">
        <v>1254</v>
      </c>
      <c r="AO25" s="29">
        <v>1660</v>
      </c>
      <c r="AP25" s="29">
        <v>1783</v>
      </c>
      <c r="AQ25" s="29">
        <v>2002</v>
      </c>
      <c r="AR25" s="28"/>
    </row>
    <row r="26" spans="1:44" x14ac:dyDescent="0.3">
      <c r="AE26" s="28" t="s">
        <v>79</v>
      </c>
      <c r="AF26" s="29">
        <v>23105</v>
      </c>
      <c r="AG26" s="29">
        <v>26902</v>
      </c>
      <c r="AH26" s="29">
        <v>15343</v>
      </c>
      <c r="AI26" s="29">
        <v>18680</v>
      </c>
      <c r="AJ26" s="29">
        <v>21458</v>
      </c>
      <c r="AK26" s="29">
        <v>26365</v>
      </c>
      <c r="AL26" s="29">
        <v>29768</v>
      </c>
      <c r="AM26" s="11">
        <v>31496</v>
      </c>
      <c r="AN26" s="11">
        <v>32530</v>
      </c>
      <c r="AO26" s="29">
        <v>39004</v>
      </c>
      <c r="AP26" s="29">
        <v>60787</v>
      </c>
      <c r="AQ26" s="29">
        <v>71052</v>
      </c>
      <c r="AR26" s="28"/>
    </row>
    <row r="27" spans="1:44" x14ac:dyDescent="0.3">
      <c r="AE27" s="28" t="s">
        <v>80</v>
      </c>
      <c r="AF27" s="29">
        <v>12071</v>
      </c>
      <c r="AG27" s="29">
        <v>14412</v>
      </c>
      <c r="AH27" s="29">
        <v>2813</v>
      </c>
      <c r="AI27" s="29">
        <v>5370</v>
      </c>
      <c r="AJ27" s="29">
        <v>8069</v>
      </c>
      <c r="AK27" s="29">
        <v>10928</v>
      </c>
      <c r="AL27" s="29">
        <v>14024</v>
      </c>
      <c r="AM27" s="11">
        <v>16508</v>
      </c>
      <c r="AN27" s="11">
        <v>18783</v>
      </c>
      <c r="AO27" s="29">
        <v>21174</v>
      </c>
      <c r="AP27" s="29">
        <v>32922</v>
      </c>
      <c r="AQ27" s="29">
        <v>38070</v>
      </c>
      <c r="AR27" s="28"/>
    </row>
    <row r="28" spans="1:44" x14ac:dyDescent="0.3">
      <c r="AE28" s="26" t="s">
        <v>81</v>
      </c>
      <c r="AF28" s="26">
        <v>2640</v>
      </c>
      <c r="AG28" s="26">
        <v>1890</v>
      </c>
      <c r="AH28" s="26">
        <v>1007</v>
      </c>
      <c r="AI28" s="26">
        <v>1252</v>
      </c>
      <c r="AJ28" s="26">
        <v>2132</v>
      </c>
      <c r="AK28" s="26">
        <v>1607</v>
      </c>
      <c r="AL28" s="26">
        <v>1415</v>
      </c>
      <c r="AM28" s="27">
        <v>1497</v>
      </c>
      <c r="AN28" s="27">
        <v>2936</v>
      </c>
      <c r="AO28" s="26">
        <v>2904</v>
      </c>
      <c r="AP28" s="26">
        <v>7735</v>
      </c>
      <c r="AQ28" s="26">
        <v>7929</v>
      </c>
      <c r="AR28" s="26">
        <v>7902</v>
      </c>
    </row>
    <row r="29" spans="1:44" x14ac:dyDescent="0.3">
      <c r="AE29" s="28" t="s">
        <v>82</v>
      </c>
      <c r="AF29" s="29">
        <v>10527</v>
      </c>
      <c r="AG29" s="29">
        <v>13298</v>
      </c>
      <c r="AH29" s="29">
        <v>20676</v>
      </c>
      <c r="AI29" s="29">
        <v>29151</v>
      </c>
      <c r="AJ29" s="29">
        <v>36123</v>
      </c>
      <c r="AK29" s="29">
        <v>37504</v>
      </c>
      <c r="AL29" s="29">
        <v>37488</v>
      </c>
      <c r="AM29" s="11">
        <v>42945</v>
      </c>
      <c r="AN29" s="11">
        <v>42035</v>
      </c>
      <c r="AO29" s="29">
        <v>49184</v>
      </c>
      <c r="AP29" s="29">
        <v>57296</v>
      </c>
      <c r="AQ29" s="29">
        <v>66265</v>
      </c>
      <c r="AR29" s="28">
        <v>65473</v>
      </c>
    </row>
    <row r="30" spans="1:44" x14ac:dyDescent="0.3">
      <c r="AE30" s="28" t="s">
        <v>94</v>
      </c>
      <c r="AF30" s="29">
        <v>7275</v>
      </c>
      <c r="AG30" s="29">
        <v>6800</v>
      </c>
      <c r="AH30" s="29">
        <v>8513</v>
      </c>
      <c r="AI30" s="29">
        <v>8247</v>
      </c>
      <c r="AJ30" s="29">
        <v>8604</v>
      </c>
      <c r="AK30" s="29">
        <v>9421</v>
      </c>
      <c r="AL30" s="29">
        <v>8980</v>
      </c>
      <c r="AM30" s="11">
        <v>11946</v>
      </c>
      <c r="AN30" s="11">
        <v>15937</v>
      </c>
      <c r="AO30" s="29">
        <v>14678</v>
      </c>
      <c r="AP30" s="29">
        <v>22408</v>
      </c>
      <c r="AQ30" s="29">
        <v>24794</v>
      </c>
      <c r="AR30" s="28">
        <v>29579</v>
      </c>
    </row>
    <row r="31" spans="1:44" x14ac:dyDescent="0.3">
      <c r="AE31" s="28" t="s">
        <v>84</v>
      </c>
      <c r="AF31" s="29">
        <v>1763</v>
      </c>
      <c r="AG31" s="29">
        <v>2745</v>
      </c>
      <c r="AH31" s="29">
        <v>3133</v>
      </c>
      <c r="AI31" s="29">
        <v>3264</v>
      </c>
      <c r="AJ31" s="29">
        <v>3160</v>
      </c>
      <c r="AK31" s="29">
        <v>3323</v>
      </c>
      <c r="AL31" s="29">
        <v>3214</v>
      </c>
      <c r="AM31" s="11">
        <v>3049</v>
      </c>
      <c r="AN31" s="11">
        <v>3532</v>
      </c>
      <c r="AO31" s="29">
        <v>4284</v>
      </c>
      <c r="AP31" s="29">
        <v>5318</v>
      </c>
      <c r="AQ31" s="29">
        <v>6913</v>
      </c>
      <c r="AR31" s="28">
        <v>10850</v>
      </c>
    </row>
    <row r="32" spans="1:44" x14ac:dyDescent="0.3">
      <c r="AE32" s="28" t="s">
        <v>96</v>
      </c>
      <c r="AF32" s="29">
        <v>1489</v>
      </c>
      <c r="AG32" s="29">
        <v>1144</v>
      </c>
      <c r="AH32" s="29">
        <v>1323</v>
      </c>
      <c r="AI32" s="29">
        <v>1203</v>
      </c>
      <c r="AJ32" s="29">
        <v>1465</v>
      </c>
      <c r="AK32" s="29">
        <v>2313</v>
      </c>
      <c r="AL32" s="29">
        <v>1978</v>
      </c>
      <c r="AM32" s="11">
        <v>1280</v>
      </c>
      <c r="AN32" s="11">
        <v>2034</v>
      </c>
      <c r="AO32" s="29">
        <v>3301</v>
      </c>
      <c r="AP32" s="29">
        <v>4597</v>
      </c>
      <c r="AQ32" s="29">
        <v>6540</v>
      </c>
      <c r="AR32" s="28">
        <v>7330</v>
      </c>
    </row>
    <row r="33" spans="3:44" x14ac:dyDescent="0.3">
      <c r="AE33" s="28" t="s">
        <v>86</v>
      </c>
      <c r="AF33" s="29">
        <v>649</v>
      </c>
      <c r="AG33" s="29">
        <v>43</v>
      </c>
      <c r="AH33" s="29">
        <v>51</v>
      </c>
      <c r="AI33" s="29">
        <v>24</v>
      </c>
      <c r="AJ33" s="29">
        <v>74</v>
      </c>
      <c r="AK33" s="29">
        <v>188</v>
      </c>
      <c r="AL33" s="29">
        <v>29</v>
      </c>
      <c r="AM33" s="11">
        <v>3047</v>
      </c>
      <c r="AN33" s="11">
        <v>3042</v>
      </c>
      <c r="AO33" s="29">
        <v>42</v>
      </c>
      <c r="AP33" s="29">
        <v>2827</v>
      </c>
      <c r="AQ33" s="29">
        <v>553</v>
      </c>
      <c r="AR33" s="28">
        <v>668</v>
      </c>
    </row>
    <row r="34" spans="3:44" x14ac:dyDescent="0.3">
      <c r="AE34" s="28" t="s">
        <v>87</v>
      </c>
      <c r="AF34" s="29">
        <v>188</v>
      </c>
      <c r="AG34" s="29">
        <v>126</v>
      </c>
      <c r="AH34" s="29">
        <v>623</v>
      </c>
      <c r="AI34" s="29">
        <v>688</v>
      </c>
      <c r="AJ34" s="29">
        <v>1290</v>
      </c>
      <c r="AK34" s="29">
        <v>1160</v>
      </c>
      <c r="AL34" s="29">
        <v>1362</v>
      </c>
      <c r="AM34" s="11">
        <v>1412</v>
      </c>
      <c r="AN34" s="11">
        <v>2880</v>
      </c>
      <c r="AO34" s="29">
        <v>2828</v>
      </c>
      <c r="AP34" s="29">
        <v>266</v>
      </c>
      <c r="AQ34" s="29">
        <v>851</v>
      </c>
      <c r="AR34" s="28">
        <v>519</v>
      </c>
    </row>
    <row r="35" spans="3:44" x14ac:dyDescent="0.3">
      <c r="AE35" s="28" t="s">
        <v>88</v>
      </c>
      <c r="AF35" s="29">
        <v>3187</v>
      </c>
      <c r="AG35" s="29">
        <v>2741</v>
      </c>
      <c r="AH35" s="29">
        <v>3384</v>
      </c>
      <c r="AI35" s="29">
        <v>3069</v>
      </c>
      <c r="AJ35" s="29">
        <v>2615</v>
      </c>
      <c r="AK35" s="29">
        <v>2438</v>
      </c>
      <c r="AL35" s="29">
        <v>2398</v>
      </c>
      <c r="AM35" s="11">
        <v>3158</v>
      </c>
      <c r="AN35" s="11">
        <v>4448</v>
      </c>
      <c r="AO35" s="29">
        <v>4223</v>
      </c>
      <c r="AP35" s="29">
        <v>9400</v>
      </c>
      <c r="AQ35" s="29">
        <v>9937</v>
      </c>
      <c r="AR35" s="28">
        <v>10210</v>
      </c>
    </row>
    <row r="36" spans="3:44" x14ac:dyDescent="0.3">
      <c r="AE36" s="28" t="s">
        <v>89</v>
      </c>
      <c r="AF36" s="29">
        <v>31476</v>
      </c>
      <c r="AG36" s="29">
        <v>34477</v>
      </c>
      <c r="AH36" s="29">
        <v>42726</v>
      </c>
      <c r="AI36" s="29">
        <v>51960</v>
      </c>
      <c r="AJ36" s="29">
        <v>60248</v>
      </c>
      <c r="AK36" s="29">
        <v>63969</v>
      </c>
      <c r="AL36" s="29">
        <v>63628</v>
      </c>
      <c r="AM36" s="11">
        <v>71376</v>
      </c>
      <c r="AN36" s="11">
        <v>74656</v>
      </c>
      <c r="AO36" s="29">
        <v>84597</v>
      </c>
      <c r="AP36" s="29">
        <v>115304</v>
      </c>
      <c r="AQ36" s="29">
        <v>131971</v>
      </c>
      <c r="AR36" s="28">
        <v>138453</v>
      </c>
    </row>
    <row r="37" spans="3:44" ht="14.4" customHeight="1" x14ac:dyDescent="0.3">
      <c r="C37" s="15" t="s">
        <v>43</v>
      </c>
      <c r="D37" s="15"/>
      <c r="E37" s="15"/>
      <c r="F37" s="15"/>
      <c r="G37" s="15"/>
      <c r="H37" s="15"/>
      <c r="I37" s="15"/>
      <c r="J37" s="15"/>
      <c r="K37" s="15"/>
    </row>
    <row r="38" spans="3:44" x14ac:dyDescent="0.3">
      <c r="C38" s="15"/>
      <c r="D38" s="15"/>
      <c r="E38" s="15"/>
      <c r="F38" s="15"/>
      <c r="G38" s="15"/>
      <c r="H38" s="15"/>
      <c r="I38" s="15"/>
      <c r="J38" s="15"/>
      <c r="K38" s="15"/>
    </row>
    <row r="39" spans="3:44" x14ac:dyDescent="0.3">
      <c r="C39" s="15"/>
      <c r="D39" s="15"/>
      <c r="E39" s="15"/>
      <c r="F39" s="15"/>
      <c r="G39" s="15"/>
      <c r="H39" s="15"/>
      <c r="I39" s="15"/>
      <c r="J39" s="15"/>
      <c r="K39" s="15"/>
    </row>
    <row r="40" spans="3:44" x14ac:dyDescent="0.3">
      <c r="C40" s="15"/>
      <c r="D40" s="15"/>
      <c r="E40" s="15"/>
      <c r="F40" s="15"/>
      <c r="G40" s="15"/>
      <c r="H40" s="15"/>
      <c r="I40" s="15"/>
      <c r="J40" s="15"/>
      <c r="K40" s="15"/>
    </row>
    <row r="41" spans="3:44" x14ac:dyDescent="0.3">
      <c r="C41" s="15"/>
      <c r="D41" s="15"/>
      <c r="E41" s="15"/>
      <c r="F41" s="15"/>
      <c r="G41" s="15"/>
      <c r="H41" s="15"/>
      <c r="I41" s="15"/>
      <c r="J41" s="15"/>
      <c r="K41" s="15"/>
    </row>
    <row r="42" spans="3:44" x14ac:dyDescent="0.3">
      <c r="C42" s="15"/>
      <c r="D42" s="15"/>
      <c r="E42" s="15"/>
      <c r="F42" s="15"/>
      <c r="G42" s="15"/>
      <c r="H42" s="15"/>
      <c r="I42" s="15"/>
      <c r="J42" s="15"/>
      <c r="K42" s="15"/>
    </row>
    <row r="43" spans="3:44" x14ac:dyDescent="0.3">
      <c r="C43" s="15"/>
      <c r="D43" s="15"/>
      <c r="E43" s="15"/>
      <c r="F43" s="15"/>
      <c r="G43" s="15"/>
      <c r="H43" s="15"/>
      <c r="I43" s="15"/>
      <c r="J43" s="15"/>
      <c r="K43" s="15"/>
    </row>
    <row r="46" spans="3:44" x14ac:dyDescent="0.3">
      <c r="C46" s="15" t="s">
        <v>44</v>
      </c>
      <c r="D46" s="15"/>
      <c r="E46" s="15"/>
      <c r="F46" s="15"/>
      <c r="G46" s="15"/>
      <c r="H46" s="15"/>
      <c r="I46" s="15"/>
      <c r="J46" s="15"/>
      <c r="K46" s="15"/>
    </row>
    <row r="47" spans="3:44" x14ac:dyDescent="0.3">
      <c r="C47" s="15"/>
      <c r="D47" s="15"/>
      <c r="E47" s="15"/>
      <c r="F47" s="15"/>
      <c r="G47" s="15"/>
      <c r="H47" s="15"/>
      <c r="I47" s="15"/>
      <c r="J47" s="15"/>
      <c r="K47" s="15"/>
    </row>
    <row r="48" spans="3:44" x14ac:dyDescent="0.3">
      <c r="C48" s="15"/>
      <c r="D48" s="15"/>
      <c r="E48" s="15"/>
      <c r="F48" s="15"/>
      <c r="G48" s="15"/>
      <c r="H48" s="15"/>
      <c r="I48" s="15"/>
      <c r="J48" s="15"/>
      <c r="K48" s="15"/>
    </row>
    <row r="49" spans="3:11" x14ac:dyDescent="0.3">
      <c r="C49" s="15"/>
      <c r="D49" s="15"/>
      <c r="E49" s="15"/>
      <c r="F49" s="15"/>
      <c r="G49" s="15"/>
      <c r="H49" s="15"/>
      <c r="I49" s="15"/>
      <c r="J49" s="15"/>
      <c r="K49" s="15"/>
    </row>
    <row r="50" spans="3:11" x14ac:dyDescent="0.3">
      <c r="C50" s="15"/>
      <c r="D50" s="15"/>
      <c r="E50" s="15"/>
      <c r="F50" s="15"/>
      <c r="G50" s="15"/>
      <c r="H50" s="15"/>
      <c r="I50" s="15"/>
      <c r="J50" s="15"/>
      <c r="K50" s="15"/>
    </row>
    <row r="51" spans="3:11" x14ac:dyDescent="0.3">
      <c r="C51" s="15"/>
      <c r="D51" s="15"/>
      <c r="E51" s="15"/>
      <c r="F51" s="15"/>
      <c r="G51" s="15"/>
      <c r="H51" s="15"/>
      <c r="I51" s="15"/>
      <c r="J51" s="15"/>
      <c r="K51" s="15"/>
    </row>
    <row r="52" spans="3:11" x14ac:dyDescent="0.3">
      <c r="C52" s="15"/>
      <c r="D52" s="15"/>
      <c r="E52" s="15"/>
      <c r="F52" s="15"/>
      <c r="G52" s="15"/>
      <c r="H52" s="15"/>
      <c r="I52" s="15"/>
      <c r="J52" s="15"/>
      <c r="K52" s="15"/>
    </row>
  </sheetData>
  <mergeCells count="9">
    <mergeCell ref="I14:J17"/>
    <mergeCell ref="I20:J21"/>
    <mergeCell ref="C37:K43"/>
    <mergeCell ref="C46:K52"/>
    <mergeCell ref="A14:H17"/>
    <mergeCell ref="K14:M17"/>
    <mergeCell ref="A20:H21"/>
    <mergeCell ref="K20:M21"/>
    <mergeCell ref="A25:M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97B1-60B4-4AE5-8C5E-6701340F0651}">
  <dimension ref="A1:AQ34"/>
  <sheetViews>
    <sheetView zoomScale="74" workbookViewId="0">
      <selection activeCell="AW26" sqref="AW26"/>
    </sheetView>
  </sheetViews>
  <sheetFormatPr defaultRowHeight="14.4" x14ac:dyDescent="0.3"/>
  <cols>
    <col min="1" max="1" width="16.88671875" bestFit="1" customWidth="1"/>
    <col min="16" max="16" width="26.77734375" bestFit="1" customWidth="1"/>
    <col min="30" max="30" width="23.44140625" bestFit="1" customWidth="1"/>
    <col min="31" max="31" width="23.5546875" bestFit="1" customWidth="1"/>
  </cols>
  <sheetData>
    <row r="1" spans="1:43" x14ac:dyDescent="0.3">
      <c r="A1" s="2" t="s">
        <v>45</v>
      </c>
      <c r="B1" s="2" t="s">
        <v>49</v>
      </c>
      <c r="C1" s="2" t="s">
        <v>50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49</v>
      </c>
      <c r="R1" s="2" t="s">
        <v>50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7" t="s">
        <v>8</v>
      </c>
      <c r="Y1" s="7" t="s">
        <v>9</v>
      </c>
      <c r="Z1" s="2" t="s">
        <v>10</v>
      </c>
      <c r="AA1" s="2" t="s">
        <v>11</v>
      </c>
      <c r="AB1" s="2" t="s">
        <v>12</v>
      </c>
    </row>
    <row r="2" spans="1:43" x14ac:dyDescent="0.3">
      <c r="A2" s="3" t="s">
        <v>13</v>
      </c>
      <c r="B2" s="1">
        <v>6810</v>
      </c>
      <c r="C2" s="1">
        <v>8738</v>
      </c>
      <c r="D2" s="1">
        <v>6173</v>
      </c>
      <c r="E2" s="1">
        <v>7033</v>
      </c>
      <c r="F2" s="1">
        <v>8965</v>
      </c>
      <c r="G2" s="1">
        <v>9797</v>
      </c>
      <c r="H2" s="1">
        <v>9154</v>
      </c>
      <c r="I2" s="8">
        <v>8720</v>
      </c>
      <c r="J2" s="8">
        <v>10298</v>
      </c>
      <c r="K2" s="1">
        <v>14442</v>
      </c>
      <c r="L2" s="1">
        <v>16536</v>
      </c>
      <c r="M2" s="1">
        <v>18870</v>
      </c>
      <c r="P2" s="3" t="s">
        <v>51</v>
      </c>
      <c r="Q2" s="1">
        <v>716</v>
      </c>
      <c r="R2" s="1">
        <v>1047</v>
      </c>
      <c r="S2" s="1">
        <v>1463</v>
      </c>
      <c r="T2" s="1">
        <v>1708</v>
      </c>
      <c r="U2" s="1">
        <v>2482</v>
      </c>
      <c r="V2" s="1">
        <v>1575</v>
      </c>
      <c r="W2" s="1">
        <v>1694</v>
      </c>
      <c r="X2" s="8">
        <v>1691</v>
      </c>
      <c r="Y2" s="8">
        <v>1527</v>
      </c>
      <c r="Z2" s="1">
        <v>2823</v>
      </c>
      <c r="AA2" s="1">
        <v>3724</v>
      </c>
      <c r="AB2" s="1">
        <v>3980</v>
      </c>
      <c r="AE2" s="2" t="s">
        <v>45</v>
      </c>
      <c r="AF2" s="2" t="s">
        <v>49</v>
      </c>
      <c r="AG2" s="2" t="s">
        <v>50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3" x14ac:dyDescent="0.3">
      <c r="A3" s="3" t="s">
        <v>14</v>
      </c>
      <c r="B3" s="1">
        <v>6094</v>
      </c>
      <c r="C3" s="1">
        <v>7621</v>
      </c>
      <c r="D3" s="1">
        <v>4484</v>
      </c>
      <c r="E3" s="1">
        <v>4859</v>
      </c>
      <c r="F3" s="1">
        <v>6156</v>
      </c>
      <c r="G3" s="1">
        <v>6893</v>
      </c>
      <c r="H3" s="1">
        <v>6971</v>
      </c>
      <c r="I3" s="8">
        <v>6937</v>
      </c>
      <c r="J3" s="8">
        <v>8120</v>
      </c>
      <c r="K3" s="1">
        <v>10996</v>
      </c>
      <c r="L3" s="1">
        <v>12206</v>
      </c>
      <c r="M3" s="1">
        <v>14148</v>
      </c>
      <c r="P3" s="3" t="s">
        <v>35</v>
      </c>
      <c r="Q3" s="1">
        <v>718</v>
      </c>
      <c r="R3" s="1">
        <v>1126</v>
      </c>
      <c r="S3" s="1">
        <v>1719</v>
      </c>
      <c r="T3" s="1">
        <v>2196</v>
      </c>
      <c r="U3" s="1">
        <v>2851</v>
      </c>
      <c r="V3" s="1">
        <v>2941</v>
      </c>
      <c r="W3" s="1">
        <v>2236</v>
      </c>
      <c r="X3" s="8">
        <v>1912</v>
      </c>
      <c r="Y3" s="8">
        <v>2172</v>
      </c>
      <c r="Z3" s="1">
        <v>3527</v>
      </c>
      <c r="AA3" s="1">
        <v>4404</v>
      </c>
      <c r="AB3" s="1">
        <v>4849</v>
      </c>
      <c r="AE3" s="3" t="s">
        <v>56</v>
      </c>
      <c r="AF3" s="1">
        <v>27</v>
      </c>
      <c r="AG3" s="1">
        <v>27</v>
      </c>
      <c r="AH3" s="1">
        <v>27</v>
      </c>
      <c r="AI3" s="1">
        <v>27</v>
      </c>
      <c r="AJ3" s="1">
        <v>27</v>
      </c>
      <c r="AK3" s="1">
        <v>27</v>
      </c>
      <c r="AL3" s="1">
        <v>27</v>
      </c>
      <c r="AM3" s="8">
        <v>27</v>
      </c>
      <c r="AN3" s="8">
        <v>27</v>
      </c>
      <c r="AO3" s="1">
        <v>27</v>
      </c>
      <c r="AP3" s="1">
        <v>27</v>
      </c>
      <c r="AQ3" s="1">
        <v>27</v>
      </c>
    </row>
    <row r="4" spans="1:43" x14ac:dyDescent="0.3">
      <c r="A4" s="3" t="s">
        <v>15</v>
      </c>
      <c r="B4" s="1">
        <v>715</v>
      </c>
      <c r="C4" s="1">
        <v>1118</v>
      </c>
      <c r="D4" s="1">
        <v>1690</v>
      </c>
      <c r="E4" s="1">
        <v>2174</v>
      </c>
      <c r="F4" s="1">
        <v>2809</v>
      </c>
      <c r="G4" s="1">
        <v>2904</v>
      </c>
      <c r="H4" s="1">
        <v>2183</v>
      </c>
      <c r="I4" s="8">
        <v>1783</v>
      </c>
      <c r="J4" s="8">
        <v>2178</v>
      </c>
      <c r="K4" s="1">
        <v>3446</v>
      </c>
      <c r="L4" s="1">
        <v>4329</v>
      </c>
      <c r="M4" s="1">
        <v>4723</v>
      </c>
      <c r="P4" s="3" t="s">
        <v>36</v>
      </c>
      <c r="Q4" s="1">
        <v>-67</v>
      </c>
      <c r="R4" s="1">
        <v>-50</v>
      </c>
      <c r="S4" s="1">
        <v>-22</v>
      </c>
      <c r="T4" s="1">
        <v>-17</v>
      </c>
      <c r="U4" s="1">
        <v>-18</v>
      </c>
      <c r="V4" s="1">
        <v>-18</v>
      </c>
      <c r="W4" s="1">
        <v>0</v>
      </c>
      <c r="X4" s="8">
        <v>-73</v>
      </c>
      <c r="Y4" s="8">
        <v>-147</v>
      </c>
      <c r="Z4" s="1">
        <v>-59</v>
      </c>
      <c r="AA4" s="1">
        <v>-5</v>
      </c>
      <c r="AB4" s="1">
        <v>-176</v>
      </c>
      <c r="AE4" s="3" t="s">
        <v>57</v>
      </c>
      <c r="AF4" s="1">
        <v>2028</v>
      </c>
      <c r="AG4" s="1">
        <v>2489</v>
      </c>
      <c r="AH4" s="1">
        <v>3626</v>
      </c>
      <c r="AI4" s="1">
        <v>5318</v>
      </c>
      <c r="AJ4" s="1">
        <v>7003</v>
      </c>
      <c r="AK4" s="1">
        <v>8891</v>
      </c>
      <c r="AL4" s="1">
        <v>9954</v>
      </c>
      <c r="AM4" s="8">
        <v>11411</v>
      </c>
      <c r="AN4" s="8">
        <v>12581</v>
      </c>
      <c r="AO4" s="1">
        <v>14963</v>
      </c>
      <c r="AP4" s="1">
        <v>18018</v>
      </c>
      <c r="AQ4" s="1">
        <v>21269</v>
      </c>
    </row>
    <row r="5" spans="1:43" x14ac:dyDescent="0.3">
      <c r="A5" s="3" t="s">
        <v>16</v>
      </c>
      <c r="B5" s="1">
        <v>11</v>
      </c>
      <c r="C5" s="1">
        <v>13</v>
      </c>
      <c r="D5" s="1">
        <v>27</v>
      </c>
      <c r="E5" s="1">
        <v>31</v>
      </c>
      <c r="F5" s="1">
        <v>31</v>
      </c>
      <c r="G5" s="1">
        <v>30</v>
      </c>
      <c r="H5" s="1">
        <v>24</v>
      </c>
      <c r="I5" s="8">
        <v>20</v>
      </c>
      <c r="J5" s="8">
        <v>21</v>
      </c>
      <c r="K5" s="1">
        <v>24</v>
      </c>
      <c r="L5" s="1">
        <v>26</v>
      </c>
      <c r="M5" s="1">
        <v>25</v>
      </c>
      <c r="P5" s="3" t="s">
        <v>37</v>
      </c>
      <c r="Q5" s="1">
        <v>-38</v>
      </c>
      <c r="R5" s="1">
        <v>-119</v>
      </c>
      <c r="S5" s="1">
        <v>-104</v>
      </c>
      <c r="T5" s="1">
        <v>-28</v>
      </c>
      <c r="U5" s="1">
        <v>-59</v>
      </c>
      <c r="V5" s="1">
        <v>-239</v>
      </c>
      <c r="W5" s="1">
        <v>61</v>
      </c>
      <c r="X5" s="8">
        <v>-302</v>
      </c>
      <c r="Y5" s="8">
        <v>-258</v>
      </c>
      <c r="Z5" s="1">
        <v>-146</v>
      </c>
      <c r="AA5" s="1">
        <v>-131</v>
      </c>
      <c r="AB5" s="1">
        <v>-154</v>
      </c>
      <c r="AE5" s="3" t="s">
        <v>91</v>
      </c>
      <c r="AF5" s="1">
        <v>84</v>
      </c>
      <c r="AG5" s="1">
        <v>58</v>
      </c>
      <c r="AH5" s="1">
        <v>23</v>
      </c>
      <c r="AI5" s="1">
        <v>112</v>
      </c>
      <c r="AJ5" s="1">
        <v>151</v>
      </c>
      <c r="AK5" s="1">
        <v>187</v>
      </c>
      <c r="AL5" s="1">
        <v>249</v>
      </c>
      <c r="AM5" s="8">
        <v>219</v>
      </c>
      <c r="AN5" s="8">
        <v>108</v>
      </c>
      <c r="AO5" s="1">
        <v>288</v>
      </c>
      <c r="AP5" s="1">
        <v>419</v>
      </c>
      <c r="AQ5" s="1">
        <v>458</v>
      </c>
    </row>
    <row r="6" spans="1:43" x14ac:dyDescent="0.3">
      <c r="A6" s="3" t="s">
        <v>17</v>
      </c>
      <c r="B6" s="1">
        <v>93</v>
      </c>
      <c r="C6" s="1">
        <v>105</v>
      </c>
      <c r="D6" s="1">
        <v>326</v>
      </c>
      <c r="E6" s="1">
        <v>416</v>
      </c>
      <c r="F6" s="1">
        <v>536</v>
      </c>
      <c r="G6" s="1">
        <v>701</v>
      </c>
      <c r="H6" s="1">
        <v>572</v>
      </c>
      <c r="I6" s="8">
        <v>482</v>
      </c>
      <c r="J6" s="8">
        <v>496</v>
      </c>
      <c r="K6" s="1">
        <v>908</v>
      </c>
      <c r="L6" s="1">
        <v>1521</v>
      </c>
      <c r="M6" s="1">
        <v>1994</v>
      </c>
      <c r="P6" s="3" t="s">
        <v>38</v>
      </c>
      <c r="Q6" s="1">
        <v>237</v>
      </c>
      <c r="R6" s="1">
        <v>321</v>
      </c>
      <c r="S6" s="1">
        <v>241</v>
      </c>
      <c r="T6" s="1">
        <v>110</v>
      </c>
      <c r="U6" s="1">
        <v>407</v>
      </c>
      <c r="V6" s="1">
        <v>62</v>
      </c>
      <c r="W6" s="1">
        <v>-235</v>
      </c>
      <c r="X6" s="8">
        <v>495</v>
      </c>
      <c r="Y6" s="8">
        <v>283</v>
      </c>
      <c r="Z6" s="1">
        <v>22</v>
      </c>
      <c r="AA6" s="1">
        <v>304</v>
      </c>
      <c r="AB6" s="1">
        <v>440</v>
      </c>
      <c r="AE6" s="3" t="s">
        <v>59</v>
      </c>
      <c r="AF6" s="1"/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8">
        <v>0</v>
      </c>
      <c r="AN6" s="8">
        <v>0</v>
      </c>
      <c r="AO6" s="1">
        <v>63</v>
      </c>
      <c r="AP6" s="1">
        <v>163</v>
      </c>
      <c r="AQ6" s="1">
        <v>184</v>
      </c>
    </row>
    <row r="7" spans="1:43" x14ac:dyDescent="0.3">
      <c r="A7" s="3" t="s">
        <v>18</v>
      </c>
      <c r="B7" s="1">
        <v>8</v>
      </c>
      <c r="C7" s="1">
        <v>10</v>
      </c>
      <c r="D7" s="1">
        <v>2</v>
      </c>
      <c r="E7" s="1">
        <v>4</v>
      </c>
      <c r="F7" s="1">
        <v>5</v>
      </c>
      <c r="G7" s="1">
        <v>7</v>
      </c>
      <c r="H7" s="1">
        <v>19</v>
      </c>
      <c r="I7" s="8">
        <v>16</v>
      </c>
      <c r="J7" s="8">
        <v>19</v>
      </c>
      <c r="K7" s="1">
        <v>28</v>
      </c>
      <c r="L7" s="1">
        <v>51</v>
      </c>
      <c r="M7" s="1">
        <v>54</v>
      </c>
      <c r="P7" s="3" t="s">
        <v>39</v>
      </c>
      <c r="Q7" s="1">
        <v>-20</v>
      </c>
      <c r="R7" s="1">
        <v>-103</v>
      </c>
      <c r="S7" s="1">
        <v>-12</v>
      </c>
      <c r="T7" s="1">
        <v>6</v>
      </c>
      <c r="U7" s="1">
        <v>0</v>
      </c>
      <c r="V7" s="1">
        <v>-1</v>
      </c>
      <c r="W7" s="1">
        <v>1</v>
      </c>
      <c r="X7" s="8">
        <v>0</v>
      </c>
      <c r="Y7" s="8">
        <v>0</v>
      </c>
      <c r="Z7" s="1">
        <v>0</v>
      </c>
      <c r="AA7" s="1">
        <v>0</v>
      </c>
      <c r="AB7" s="1">
        <v>0</v>
      </c>
      <c r="AE7" s="3" t="s">
        <v>60</v>
      </c>
      <c r="AF7" s="1"/>
      <c r="AG7" s="1">
        <v>58</v>
      </c>
      <c r="AH7" s="1">
        <v>23</v>
      </c>
      <c r="AI7" s="1">
        <v>112</v>
      </c>
      <c r="AJ7" s="1">
        <v>151</v>
      </c>
      <c r="AK7" s="1">
        <v>187</v>
      </c>
      <c r="AL7" s="1">
        <v>144</v>
      </c>
      <c r="AM7" s="8">
        <v>157</v>
      </c>
      <c r="AN7" s="8">
        <v>59</v>
      </c>
      <c r="AO7" s="1">
        <v>133</v>
      </c>
      <c r="AP7" s="1">
        <v>112</v>
      </c>
      <c r="AQ7" s="1">
        <v>82</v>
      </c>
    </row>
    <row r="8" spans="1:43" x14ac:dyDescent="0.3">
      <c r="A8" s="3" t="s">
        <v>19</v>
      </c>
      <c r="B8" s="1">
        <v>130</v>
      </c>
      <c r="C8" s="1">
        <v>220</v>
      </c>
      <c r="D8" s="1">
        <v>137</v>
      </c>
      <c r="E8" s="1">
        <v>154</v>
      </c>
      <c r="F8" s="1">
        <v>223</v>
      </c>
      <c r="G8" s="1">
        <v>300</v>
      </c>
      <c r="H8" s="1">
        <v>382</v>
      </c>
      <c r="I8" s="8">
        <v>451</v>
      </c>
      <c r="J8" s="8">
        <v>452</v>
      </c>
      <c r="K8" s="1">
        <v>526</v>
      </c>
      <c r="L8" s="1">
        <v>598</v>
      </c>
      <c r="M8" s="1">
        <v>729</v>
      </c>
      <c r="P8" s="3" t="s">
        <v>40</v>
      </c>
      <c r="Q8" s="1">
        <v>37</v>
      </c>
      <c r="R8" s="1">
        <v>152</v>
      </c>
      <c r="S8" s="1">
        <v>160</v>
      </c>
      <c r="T8" s="1">
        <v>92</v>
      </c>
      <c r="U8" s="1">
        <v>109</v>
      </c>
      <c r="V8" s="1">
        <v>-262</v>
      </c>
      <c r="W8" s="1">
        <v>259</v>
      </c>
      <c r="X8" s="8">
        <v>115</v>
      </c>
      <c r="Y8" s="8">
        <v>-10</v>
      </c>
      <c r="Z8" s="1">
        <v>249</v>
      </c>
      <c r="AA8" s="1">
        <v>220</v>
      </c>
      <c r="AB8" s="1">
        <v>10</v>
      </c>
      <c r="AE8" s="3" t="s">
        <v>61</v>
      </c>
      <c r="AF8" s="1"/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105</v>
      </c>
      <c r="AM8" s="8">
        <v>62</v>
      </c>
      <c r="AN8" s="8">
        <v>49</v>
      </c>
      <c r="AO8" s="1">
        <v>93</v>
      </c>
      <c r="AP8" s="1">
        <v>144</v>
      </c>
      <c r="AQ8" s="1">
        <v>192</v>
      </c>
    </row>
    <row r="9" spans="1:43" x14ac:dyDescent="0.3">
      <c r="A9" s="3" t="s">
        <v>20</v>
      </c>
      <c r="B9" s="1">
        <v>671</v>
      </c>
      <c r="C9" s="1">
        <v>993</v>
      </c>
      <c r="D9" s="1">
        <v>1877</v>
      </c>
      <c r="E9" s="1">
        <v>2433</v>
      </c>
      <c r="F9" s="1">
        <v>3116</v>
      </c>
      <c r="G9" s="1">
        <v>3297</v>
      </c>
      <c r="H9" s="1">
        <v>2355</v>
      </c>
      <c r="I9" s="8">
        <v>1798</v>
      </c>
      <c r="J9" s="8">
        <v>2203</v>
      </c>
      <c r="K9" s="1">
        <v>3800</v>
      </c>
      <c r="L9" s="1">
        <v>5202</v>
      </c>
      <c r="M9" s="1">
        <v>5933</v>
      </c>
      <c r="P9" s="3" t="s">
        <v>53</v>
      </c>
      <c r="Q9" s="1">
        <v>149</v>
      </c>
      <c r="R9" s="1">
        <v>202</v>
      </c>
      <c r="S9" s="1">
        <v>263</v>
      </c>
      <c r="T9" s="1">
        <v>163</v>
      </c>
      <c r="U9" s="1">
        <v>438</v>
      </c>
      <c r="V9" s="1">
        <v>-457</v>
      </c>
      <c r="W9" s="1">
        <v>86</v>
      </c>
      <c r="X9" s="8">
        <v>235</v>
      </c>
      <c r="Y9" s="8">
        <v>-131</v>
      </c>
      <c r="Z9" s="1">
        <v>66</v>
      </c>
      <c r="AA9" s="1">
        <v>388</v>
      </c>
      <c r="AB9" s="1">
        <v>211</v>
      </c>
      <c r="AE9" s="3" t="s">
        <v>92</v>
      </c>
      <c r="AF9" s="1">
        <v>3197</v>
      </c>
      <c r="AG9" s="1">
        <v>3829</v>
      </c>
      <c r="AH9" s="1">
        <v>1263</v>
      </c>
      <c r="AI9" s="1">
        <v>1552</v>
      </c>
      <c r="AJ9" s="1">
        <v>2341</v>
      </c>
      <c r="AK9" s="1">
        <v>2281</v>
      </c>
      <c r="AL9" s="1">
        <v>2220</v>
      </c>
      <c r="AM9" s="8">
        <v>2901</v>
      </c>
      <c r="AN9" s="8">
        <v>3424</v>
      </c>
      <c r="AO9" s="1">
        <v>3919</v>
      </c>
      <c r="AP9" s="1">
        <v>4650</v>
      </c>
      <c r="AQ9" s="1">
        <v>5420</v>
      </c>
    </row>
    <row r="10" spans="1:43" x14ac:dyDescent="0.3">
      <c r="A10" s="3" t="s">
        <v>21</v>
      </c>
      <c r="B10" s="1">
        <v>22</v>
      </c>
      <c r="C10" s="1">
        <v>29</v>
      </c>
      <c r="D10" s="1">
        <v>29</v>
      </c>
      <c r="E10" s="1">
        <v>30</v>
      </c>
      <c r="F10" s="1">
        <v>30</v>
      </c>
      <c r="G10" s="1">
        <v>33</v>
      </c>
      <c r="H10" s="1">
        <v>22</v>
      </c>
      <c r="I10" s="8">
        <v>25</v>
      </c>
      <c r="J10" s="8">
        <v>24</v>
      </c>
      <c r="K10" s="1">
        <v>23</v>
      </c>
      <c r="L10" s="1">
        <v>23</v>
      </c>
      <c r="M10" s="1">
        <v>20</v>
      </c>
      <c r="P10" s="3" t="s">
        <v>41</v>
      </c>
      <c r="Q10" s="1">
        <v>-150</v>
      </c>
      <c r="R10" s="1">
        <v>-281</v>
      </c>
      <c r="S10" s="1">
        <v>-519</v>
      </c>
      <c r="T10" s="1">
        <v>-652</v>
      </c>
      <c r="U10" s="1">
        <v>-807</v>
      </c>
      <c r="V10" s="1">
        <v>-908</v>
      </c>
      <c r="W10" s="1">
        <v>-628</v>
      </c>
      <c r="X10" s="8">
        <v>-457</v>
      </c>
      <c r="Y10" s="8">
        <v>-514</v>
      </c>
      <c r="Z10" s="1">
        <v>-770</v>
      </c>
      <c r="AA10" s="1">
        <v>-1068</v>
      </c>
      <c r="AB10" s="1">
        <v>-1080</v>
      </c>
      <c r="AE10" s="3" t="s">
        <v>64</v>
      </c>
      <c r="AF10" s="1"/>
      <c r="AG10" s="1">
        <v>1085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8">
        <v>0</v>
      </c>
      <c r="AN10" s="8">
        <v>0</v>
      </c>
      <c r="AO10" s="1">
        <v>0</v>
      </c>
      <c r="AP10" s="1">
        <v>0</v>
      </c>
      <c r="AQ10" s="1">
        <v>0</v>
      </c>
    </row>
    <row r="11" spans="1:43" x14ac:dyDescent="0.3">
      <c r="A11" s="3" t="s">
        <v>22</v>
      </c>
      <c r="B11" s="1">
        <v>525</v>
      </c>
      <c r="C11" s="1">
        <v>702</v>
      </c>
      <c r="D11" s="1">
        <v>1338</v>
      </c>
      <c r="E11" s="1">
        <v>1667</v>
      </c>
      <c r="F11" s="1">
        <v>1960</v>
      </c>
      <c r="G11" s="1">
        <v>2203</v>
      </c>
      <c r="H11" s="1">
        <v>1827</v>
      </c>
      <c r="I11" s="8">
        <v>1347</v>
      </c>
      <c r="J11" s="8">
        <v>1677</v>
      </c>
      <c r="K11" s="1">
        <v>2914</v>
      </c>
      <c r="L11" s="1">
        <v>4001</v>
      </c>
      <c r="M11" s="1">
        <v>4734</v>
      </c>
      <c r="AE11" s="3" t="s">
        <v>65</v>
      </c>
      <c r="AF11" s="1"/>
      <c r="AG11" s="1">
        <v>1513</v>
      </c>
      <c r="AH11" s="1">
        <v>723</v>
      </c>
      <c r="AI11" s="1">
        <v>765</v>
      </c>
      <c r="AJ11" s="1">
        <v>1172</v>
      </c>
      <c r="AK11" s="1">
        <v>1234</v>
      </c>
      <c r="AL11" s="1">
        <v>1008</v>
      </c>
      <c r="AM11" s="8">
        <v>1513</v>
      </c>
      <c r="AN11" s="8">
        <v>1788</v>
      </c>
      <c r="AO11" s="1">
        <v>1810</v>
      </c>
      <c r="AP11" s="1">
        <v>2090</v>
      </c>
      <c r="AQ11" s="1">
        <v>2530</v>
      </c>
    </row>
    <row r="12" spans="1:43" x14ac:dyDescent="0.3">
      <c r="A12" s="3" t="s">
        <v>46</v>
      </c>
      <c r="B12" s="1">
        <v>14.57</v>
      </c>
      <c r="C12" s="1">
        <v>22.71</v>
      </c>
      <c r="D12" s="1">
        <v>49.27</v>
      </c>
      <c r="E12" s="1">
        <v>61.27</v>
      </c>
      <c r="F12" s="1">
        <v>71.89</v>
      </c>
      <c r="G12" s="1">
        <v>80.75</v>
      </c>
      <c r="H12" s="1">
        <v>66.91</v>
      </c>
      <c r="I12" s="8">
        <v>49.28</v>
      </c>
      <c r="J12" s="8">
        <v>61.32</v>
      </c>
      <c r="K12" s="1">
        <v>106.55</v>
      </c>
      <c r="L12" s="1">
        <v>146.13</v>
      </c>
      <c r="M12" s="1">
        <v>172.69</v>
      </c>
      <c r="AE12" s="3" t="s">
        <v>66</v>
      </c>
      <c r="AF12" s="1"/>
      <c r="AG12" s="1">
        <v>246</v>
      </c>
      <c r="AH12" s="1">
        <v>242</v>
      </c>
      <c r="AI12" s="1">
        <v>292</v>
      </c>
      <c r="AJ12" s="1">
        <v>141</v>
      </c>
      <c r="AK12" s="1">
        <v>93</v>
      </c>
      <c r="AL12" s="1">
        <v>61</v>
      </c>
      <c r="AM12" s="8">
        <v>137</v>
      </c>
      <c r="AN12" s="8">
        <v>148</v>
      </c>
      <c r="AO12" s="1">
        <v>126</v>
      </c>
      <c r="AP12" s="1">
        <v>0</v>
      </c>
      <c r="AQ12" s="1">
        <v>0</v>
      </c>
    </row>
    <row r="13" spans="1:43" x14ac:dyDescent="0.3">
      <c r="A13" s="3" t="s">
        <v>24</v>
      </c>
      <c r="B13" s="1">
        <v>21</v>
      </c>
      <c r="C13" s="1">
        <v>22</v>
      </c>
      <c r="D13" s="1">
        <v>20</v>
      </c>
      <c r="E13" s="1">
        <v>16</v>
      </c>
      <c r="F13" s="1">
        <v>15</v>
      </c>
      <c r="G13" s="1">
        <v>15</v>
      </c>
      <c r="H13" s="1">
        <v>19</v>
      </c>
      <c r="I13" s="8">
        <v>34</v>
      </c>
      <c r="J13" s="8">
        <v>34</v>
      </c>
      <c r="K13" s="1">
        <v>35</v>
      </c>
      <c r="L13" s="1">
        <v>35</v>
      </c>
      <c r="M13" s="1">
        <v>41</v>
      </c>
      <c r="AE13" s="3" t="s">
        <v>67</v>
      </c>
      <c r="AF13" s="1"/>
      <c r="AG13" s="1">
        <v>985</v>
      </c>
      <c r="AH13" s="1">
        <v>298</v>
      </c>
      <c r="AI13" s="1">
        <v>495</v>
      </c>
      <c r="AJ13" s="1">
        <v>1029</v>
      </c>
      <c r="AK13" s="1">
        <v>954</v>
      </c>
      <c r="AL13" s="1">
        <v>1151</v>
      </c>
      <c r="AM13" s="8">
        <v>1251</v>
      </c>
      <c r="AN13" s="8">
        <v>1488</v>
      </c>
      <c r="AO13" s="1">
        <v>1982</v>
      </c>
      <c r="AP13" s="1">
        <v>2560</v>
      </c>
      <c r="AQ13" s="1">
        <v>2890</v>
      </c>
    </row>
    <row r="14" spans="1:43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68</v>
      </c>
      <c r="AF14" s="1">
        <v>5337</v>
      </c>
      <c r="AG14" s="1">
        <v>6403</v>
      </c>
      <c r="AH14" s="1">
        <v>4939</v>
      </c>
      <c r="AI14" s="1">
        <v>7009</v>
      </c>
      <c r="AJ14" s="1">
        <v>9522</v>
      </c>
      <c r="AK14" s="1">
        <v>11387</v>
      </c>
      <c r="AL14" s="1">
        <v>12450</v>
      </c>
      <c r="AM14" s="8">
        <v>14559</v>
      </c>
      <c r="AN14" s="8">
        <v>16140</v>
      </c>
      <c r="AO14" s="1">
        <v>19198</v>
      </c>
      <c r="AP14" s="1">
        <v>23115</v>
      </c>
      <c r="AQ14" s="1">
        <v>27174</v>
      </c>
    </row>
    <row r="15" spans="1:43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93</v>
      </c>
      <c r="AF15" s="2">
        <v>1656</v>
      </c>
      <c r="AG15" s="2">
        <v>2309</v>
      </c>
      <c r="AH15" s="2">
        <v>790</v>
      </c>
      <c r="AI15" s="2">
        <v>873</v>
      </c>
      <c r="AJ15" s="2">
        <v>1502</v>
      </c>
      <c r="AK15" s="2">
        <v>1875</v>
      </c>
      <c r="AL15" s="2">
        <v>2378</v>
      </c>
      <c r="AM15" s="7">
        <v>2433</v>
      </c>
      <c r="AN15" s="7">
        <v>2424</v>
      </c>
      <c r="AO15" s="2">
        <v>2690</v>
      </c>
      <c r="AP15" s="2">
        <v>2914</v>
      </c>
      <c r="AQ15" s="2">
        <v>3473</v>
      </c>
    </row>
    <row r="16" spans="1:43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70</v>
      </c>
      <c r="AF16" s="1"/>
      <c r="AG16" s="1">
        <v>250</v>
      </c>
      <c r="AH16" s="1">
        <v>86</v>
      </c>
      <c r="AI16" s="1">
        <v>86</v>
      </c>
      <c r="AJ16" s="1">
        <v>86</v>
      </c>
      <c r="AK16" s="1">
        <v>86</v>
      </c>
      <c r="AL16" s="1">
        <v>182</v>
      </c>
      <c r="AM16" s="8">
        <v>232</v>
      </c>
      <c r="AN16" s="8">
        <v>230</v>
      </c>
      <c r="AO16" s="1">
        <v>230</v>
      </c>
      <c r="AP16" s="1">
        <v>227</v>
      </c>
      <c r="AQ16" s="1">
        <v>226</v>
      </c>
    </row>
    <row r="17" spans="1:43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71</v>
      </c>
      <c r="AF17" s="1"/>
      <c r="AG17" s="1">
        <v>406</v>
      </c>
      <c r="AH17" s="1">
        <v>177</v>
      </c>
      <c r="AI17" s="1">
        <v>230</v>
      </c>
      <c r="AJ17" s="1">
        <v>484</v>
      </c>
      <c r="AK17" s="1">
        <v>644</v>
      </c>
      <c r="AL17" s="1">
        <v>871</v>
      </c>
      <c r="AM17" s="8">
        <v>866</v>
      </c>
      <c r="AN17" s="8">
        <v>867</v>
      </c>
      <c r="AO17" s="1">
        <v>1051</v>
      </c>
      <c r="AP17" s="1">
        <v>1086</v>
      </c>
      <c r="AQ17" s="1">
        <v>1396</v>
      </c>
    </row>
    <row r="18" spans="1:43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72</v>
      </c>
      <c r="AF18" s="1"/>
      <c r="AG18" s="1">
        <v>1726</v>
      </c>
      <c r="AH18" s="1">
        <v>663</v>
      </c>
      <c r="AI18" s="1">
        <v>795</v>
      </c>
      <c r="AJ18" s="1">
        <v>1303</v>
      </c>
      <c r="AK18" s="1">
        <v>1548</v>
      </c>
      <c r="AL18" s="1">
        <v>1928</v>
      </c>
      <c r="AM18" s="8">
        <v>2088</v>
      </c>
      <c r="AN18" s="8">
        <v>2336</v>
      </c>
      <c r="AO18" s="1">
        <v>2598</v>
      </c>
      <c r="AP18" s="1">
        <v>2744</v>
      </c>
      <c r="AQ18" s="1">
        <v>3055</v>
      </c>
    </row>
    <row r="19" spans="1:43" x14ac:dyDescent="0.3">
      <c r="A19" s="3" t="s">
        <v>54</v>
      </c>
      <c r="B19" s="1">
        <f>Q2</f>
        <v>716</v>
      </c>
      <c r="C19" s="1">
        <f t="shared" ref="C19:M19" si="0">R2</f>
        <v>1047</v>
      </c>
      <c r="D19" s="1">
        <f t="shared" si="0"/>
        <v>1463</v>
      </c>
      <c r="E19" s="1">
        <f t="shared" si="0"/>
        <v>1708</v>
      </c>
      <c r="F19" s="1">
        <f t="shared" si="0"/>
        <v>2482</v>
      </c>
      <c r="G19" s="1">
        <f t="shared" si="0"/>
        <v>1575</v>
      </c>
      <c r="H19" s="1">
        <f t="shared" si="0"/>
        <v>1694</v>
      </c>
      <c r="I19" s="8">
        <f t="shared" si="0"/>
        <v>1691</v>
      </c>
      <c r="J19" s="8">
        <f t="shared" si="0"/>
        <v>1527</v>
      </c>
      <c r="K19" s="1">
        <f t="shared" si="0"/>
        <v>2823</v>
      </c>
      <c r="L19" s="1">
        <f t="shared" si="0"/>
        <v>3724</v>
      </c>
      <c r="M19" s="1">
        <f t="shared" si="0"/>
        <v>3980</v>
      </c>
      <c r="AE19" s="3" t="s">
        <v>73</v>
      </c>
      <c r="AF19" s="1"/>
      <c r="AG19" s="1">
        <v>121</v>
      </c>
      <c r="AH19" s="1">
        <v>51</v>
      </c>
      <c r="AI19" s="1">
        <v>68</v>
      </c>
      <c r="AJ19" s="1">
        <v>110</v>
      </c>
      <c r="AK19" s="1">
        <v>140</v>
      </c>
      <c r="AL19" s="1">
        <v>188</v>
      </c>
      <c r="AM19" s="8">
        <v>204</v>
      </c>
      <c r="AN19" s="8">
        <v>226</v>
      </c>
      <c r="AO19" s="1">
        <v>266</v>
      </c>
      <c r="AP19" s="1">
        <v>231</v>
      </c>
      <c r="AQ19" s="1">
        <v>273</v>
      </c>
    </row>
    <row r="20" spans="1:43" x14ac:dyDescent="0.3">
      <c r="A20" s="16"/>
      <c r="B20" s="16"/>
      <c r="C20" s="16"/>
      <c r="D20" s="16"/>
      <c r="E20" s="16"/>
      <c r="F20" s="16"/>
      <c r="G20" s="16"/>
      <c r="H20" s="17"/>
      <c r="I20" s="43"/>
      <c r="J20" s="44"/>
      <c r="K20" s="22"/>
      <c r="L20" s="16"/>
      <c r="M20" s="16"/>
      <c r="AE20" s="3" t="s">
        <v>75</v>
      </c>
      <c r="AF20" s="1"/>
      <c r="AG20" s="1">
        <v>86</v>
      </c>
      <c r="AH20" s="1">
        <v>11</v>
      </c>
      <c r="AI20" s="1">
        <v>14</v>
      </c>
      <c r="AJ20" s="1">
        <v>21</v>
      </c>
      <c r="AK20" s="1">
        <v>28</v>
      </c>
      <c r="AL20" s="1">
        <v>34</v>
      </c>
      <c r="AM20" s="8">
        <v>38</v>
      </c>
      <c r="AN20" s="8">
        <v>37</v>
      </c>
      <c r="AO20" s="1">
        <v>39</v>
      </c>
      <c r="AP20" s="1">
        <v>42</v>
      </c>
      <c r="AQ20" s="1">
        <v>44</v>
      </c>
    </row>
    <row r="21" spans="1:43" x14ac:dyDescent="0.3">
      <c r="A21" s="20"/>
      <c r="B21" s="20"/>
      <c r="C21" s="20"/>
      <c r="D21" s="20"/>
      <c r="E21" s="20"/>
      <c r="F21" s="20"/>
      <c r="G21" s="20"/>
      <c r="H21" s="21"/>
      <c r="I21" s="45"/>
      <c r="J21" s="46"/>
      <c r="K21" s="24"/>
      <c r="L21" s="20"/>
      <c r="M21" s="20"/>
      <c r="AE21" s="3" t="s">
        <v>76</v>
      </c>
      <c r="AF21" s="1"/>
      <c r="AG21" s="1">
        <v>78</v>
      </c>
      <c r="AH21" s="1">
        <v>19</v>
      </c>
      <c r="AI21" s="1">
        <v>30</v>
      </c>
      <c r="AJ21" s="1">
        <v>48</v>
      </c>
      <c r="AK21" s="1">
        <v>64</v>
      </c>
      <c r="AL21" s="1">
        <v>81</v>
      </c>
      <c r="AM21" s="8">
        <v>97</v>
      </c>
      <c r="AN21" s="8">
        <v>122</v>
      </c>
      <c r="AO21" s="1">
        <v>137</v>
      </c>
      <c r="AP21" s="1">
        <v>180</v>
      </c>
      <c r="AQ21" s="1">
        <v>224</v>
      </c>
    </row>
    <row r="22" spans="1:43" x14ac:dyDescent="0.3">
      <c r="A22" s="2" t="s">
        <v>26</v>
      </c>
      <c r="B22" s="1">
        <f>B12-B19</f>
        <v>-701.43</v>
      </c>
      <c r="C22" s="1">
        <f t="shared" ref="C22:M22" si="1">C12-C19</f>
        <v>-1024.29</v>
      </c>
      <c r="D22" s="1">
        <f t="shared" si="1"/>
        <v>-1413.73</v>
      </c>
      <c r="E22" s="1">
        <f t="shared" si="1"/>
        <v>-1646.73</v>
      </c>
      <c r="F22" s="1">
        <f t="shared" si="1"/>
        <v>-2410.11</v>
      </c>
      <c r="G22" s="1">
        <f t="shared" si="1"/>
        <v>-1494.25</v>
      </c>
      <c r="H22" s="1">
        <f t="shared" si="1"/>
        <v>-1627.09</v>
      </c>
      <c r="I22" s="8">
        <f t="shared" si="1"/>
        <v>-1641.72</v>
      </c>
      <c r="J22" s="8">
        <f t="shared" si="1"/>
        <v>-1465.68</v>
      </c>
      <c r="K22" s="1">
        <f t="shared" si="1"/>
        <v>-2716.45</v>
      </c>
      <c r="L22" s="1">
        <f t="shared" si="1"/>
        <v>-3577.87</v>
      </c>
      <c r="M22" s="1">
        <f t="shared" si="1"/>
        <v>-3807.31</v>
      </c>
      <c r="AE22" s="3" t="s">
        <v>77</v>
      </c>
      <c r="AF22" s="1"/>
      <c r="AG22" s="1">
        <v>22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8">
        <v>0</v>
      </c>
      <c r="AN22" s="8">
        <v>0</v>
      </c>
      <c r="AO22" s="1">
        <v>0</v>
      </c>
      <c r="AP22" s="1">
        <v>0</v>
      </c>
      <c r="AQ22" s="1">
        <v>0</v>
      </c>
    </row>
    <row r="23" spans="1:43" x14ac:dyDescent="0.3">
      <c r="AE23" s="3" t="s">
        <v>78</v>
      </c>
      <c r="AF23" s="1"/>
      <c r="AG23" s="1">
        <v>446</v>
      </c>
      <c r="AH23" s="1">
        <v>53</v>
      </c>
      <c r="AI23" s="1">
        <v>72</v>
      </c>
      <c r="AJ23" s="1">
        <v>93</v>
      </c>
      <c r="AK23" s="1">
        <v>258</v>
      </c>
      <c r="AL23" s="1">
        <v>301</v>
      </c>
      <c r="AM23" s="8">
        <v>523</v>
      </c>
      <c r="AN23" s="8">
        <v>588</v>
      </c>
      <c r="AO23" s="1">
        <v>820</v>
      </c>
      <c r="AP23" s="1">
        <v>1177</v>
      </c>
      <c r="AQ23" s="1">
        <v>1501</v>
      </c>
    </row>
    <row r="24" spans="1:43" x14ac:dyDescent="0.3">
      <c r="AE24" s="3" t="s">
        <v>79</v>
      </c>
      <c r="AF24" s="1"/>
      <c r="AG24" s="1">
        <v>3137</v>
      </c>
      <c r="AH24" s="1">
        <v>1061</v>
      </c>
      <c r="AI24" s="1">
        <v>1295</v>
      </c>
      <c r="AJ24" s="1">
        <v>2144</v>
      </c>
      <c r="AK24" s="1">
        <v>2767</v>
      </c>
      <c r="AL24" s="1">
        <v>3585</v>
      </c>
      <c r="AM24" s="8">
        <v>4049</v>
      </c>
      <c r="AN24" s="8">
        <v>4405</v>
      </c>
      <c r="AO24" s="1">
        <v>5142</v>
      </c>
      <c r="AP24" s="1">
        <v>5687</v>
      </c>
      <c r="AQ24" s="1">
        <v>6718</v>
      </c>
    </row>
    <row r="25" spans="1:43" x14ac:dyDescent="0.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AE25" s="3" t="s">
        <v>80</v>
      </c>
      <c r="AF25" s="1"/>
      <c r="AG25" s="1">
        <v>828</v>
      </c>
      <c r="AH25" s="1">
        <v>271</v>
      </c>
      <c r="AI25" s="1">
        <v>422</v>
      </c>
      <c r="AJ25" s="1">
        <v>643</v>
      </c>
      <c r="AK25" s="1">
        <v>893</v>
      </c>
      <c r="AL25" s="1">
        <v>1208</v>
      </c>
      <c r="AM25" s="8">
        <v>1616</v>
      </c>
      <c r="AN25" s="8">
        <v>1981</v>
      </c>
      <c r="AO25" s="1">
        <v>2452</v>
      </c>
      <c r="AP25" s="1">
        <v>2772</v>
      </c>
      <c r="AQ25" s="1">
        <v>3245</v>
      </c>
    </row>
    <row r="26" spans="1:43" x14ac:dyDescent="0.3">
      <c r="AE26" s="3" t="s">
        <v>81</v>
      </c>
      <c r="AF26" s="1">
        <v>464</v>
      </c>
      <c r="AG26" s="1">
        <v>419</v>
      </c>
      <c r="AH26" s="1">
        <v>94</v>
      </c>
      <c r="AI26" s="1">
        <v>374</v>
      </c>
      <c r="AJ26" s="1">
        <v>333</v>
      </c>
      <c r="AK26" s="1">
        <v>450</v>
      </c>
      <c r="AL26" s="1">
        <v>312</v>
      </c>
      <c r="AM26" s="8">
        <v>314</v>
      </c>
      <c r="AN26" s="8">
        <v>505</v>
      </c>
      <c r="AO26" s="1">
        <v>472</v>
      </c>
      <c r="AP26" s="1">
        <v>555</v>
      </c>
      <c r="AQ26" s="1">
        <v>491</v>
      </c>
    </row>
    <row r="27" spans="1:43" x14ac:dyDescent="0.3">
      <c r="AE27" s="3" t="s">
        <v>82</v>
      </c>
      <c r="AF27" s="1">
        <v>825</v>
      </c>
      <c r="AG27" s="1">
        <v>1078</v>
      </c>
      <c r="AH27" s="1">
        <v>3388</v>
      </c>
      <c r="AI27" s="1">
        <v>4987</v>
      </c>
      <c r="AJ27" s="1">
        <v>5581</v>
      </c>
      <c r="AK27" s="1">
        <v>4923</v>
      </c>
      <c r="AL27" s="1">
        <v>5749</v>
      </c>
      <c r="AM27" s="8">
        <v>3902</v>
      </c>
      <c r="AN27" s="8">
        <v>7721</v>
      </c>
      <c r="AO27" s="1">
        <v>12321</v>
      </c>
      <c r="AP27" s="1">
        <v>13527</v>
      </c>
      <c r="AQ27" s="1">
        <v>14791</v>
      </c>
    </row>
    <row r="28" spans="1:43" x14ac:dyDescent="0.3">
      <c r="AE28" s="2" t="s">
        <v>94</v>
      </c>
      <c r="AF28" s="2">
        <v>2391</v>
      </c>
      <c r="AG28" s="2">
        <v>2597</v>
      </c>
      <c r="AH28" s="2">
        <v>667</v>
      </c>
      <c r="AI28" s="2">
        <v>775</v>
      </c>
      <c r="AJ28" s="2">
        <v>2106</v>
      </c>
      <c r="AK28" s="2">
        <v>4140</v>
      </c>
      <c r="AL28" s="2">
        <v>4011</v>
      </c>
      <c r="AM28" s="7">
        <v>7909</v>
      </c>
      <c r="AN28" s="7">
        <v>5490</v>
      </c>
      <c r="AO28" s="2">
        <v>3715</v>
      </c>
      <c r="AP28" s="2">
        <v>6119</v>
      </c>
      <c r="AQ28" s="2">
        <v>8419</v>
      </c>
    </row>
    <row r="29" spans="1:43" x14ac:dyDescent="0.3">
      <c r="AE29" s="3" t="s">
        <v>84</v>
      </c>
      <c r="AF29" s="1"/>
      <c r="AG29" s="1">
        <v>646</v>
      </c>
      <c r="AH29" s="1">
        <v>308</v>
      </c>
      <c r="AI29" s="1">
        <v>336</v>
      </c>
      <c r="AJ29" s="1">
        <v>395</v>
      </c>
      <c r="AK29" s="1">
        <v>633</v>
      </c>
      <c r="AL29" s="1">
        <v>572</v>
      </c>
      <c r="AM29" s="8">
        <v>875</v>
      </c>
      <c r="AN29" s="8">
        <v>1132</v>
      </c>
      <c r="AO29" s="1">
        <v>1278</v>
      </c>
      <c r="AP29" s="1">
        <v>1410</v>
      </c>
      <c r="AQ29" s="1">
        <v>1564</v>
      </c>
    </row>
    <row r="30" spans="1:43" x14ac:dyDescent="0.3">
      <c r="AE30" s="3" t="s">
        <v>96</v>
      </c>
      <c r="AF30" s="1"/>
      <c r="AG30" s="1">
        <v>562</v>
      </c>
      <c r="AH30" s="1">
        <v>33</v>
      </c>
      <c r="AI30" s="1">
        <v>50</v>
      </c>
      <c r="AJ30" s="1">
        <v>68</v>
      </c>
      <c r="AK30" s="1">
        <v>84</v>
      </c>
      <c r="AL30" s="1">
        <v>87</v>
      </c>
      <c r="AM30" s="8">
        <v>158</v>
      </c>
      <c r="AN30" s="8">
        <v>302</v>
      </c>
      <c r="AO30" s="1">
        <v>369</v>
      </c>
      <c r="AP30" s="1">
        <v>374</v>
      </c>
      <c r="AQ30" s="1">
        <v>550</v>
      </c>
    </row>
    <row r="31" spans="1:43" x14ac:dyDescent="0.3">
      <c r="AE31" s="3" t="s">
        <v>86</v>
      </c>
      <c r="AF31" s="1"/>
      <c r="AG31" s="1">
        <v>353</v>
      </c>
      <c r="AH31" s="1">
        <v>49</v>
      </c>
      <c r="AI31" s="1">
        <v>25</v>
      </c>
      <c r="AJ31" s="1">
        <v>1212</v>
      </c>
      <c r="AK31" s="1">
        <v>2965</v>
      </c>
      <c r="AL31" s="1">
        <v>2951</v>
      </c>
      <c r="AM31" s="8">
        <v>5830</v>
      </c>
      <c r="AN31" s="8">
        <v>2722</v>
      </c>
      <c r="AO31" s="1">
        <v>766</v>
      </c>
      <c r="AP31" s="1">
        <v>146</v>
      </c>
      <c r="AQ31" s="1">
        <v>263</v>
      </c>
    </row>
    <row r="32" spans="1:43" x14ac:dyDescent="0.3">
      <c r="AE32" s="3" t="s">
        <v>87</v>
      </c>
      <c r="AF32" s="1"/>
      <c r="AG32" s="1">
        <v>88</v>
      </c>
      <c r="AH32" s="1">
        <v>39</v>
      </c>
      <c r="AI32" s="1">
        <v>39</v>
      </c>
      <c r="AJ32" s="1">
        <v>64</v>
      </c>
      <c r="AK32" s="1">
        <v>82</v>
      </c>
      <c r="AL32" s="1">
        <v>99</v>
      </c>
      <c r="AM32" s="8">
        <v>594</v>
      </c>
      <c r="AN32" s="8">
        <v>867</v>
      </c>
      <c r="AO32" s="1">
        <v>835</v>
      </c>
      <c r="AP32" s="1">
        <v>680</v>
      </c>
      <c r="AQ32" s="1">
        <v>725</v>
      </c>
    </row>
    <row r="33" spans="31:43" x14ac:dyDescent="0.3">
      <c r="AE33" s="3" t="s">
        <v>88</v>
      </c>
      <c r="AF33" s="1"/>
      <c r="AG33" s="1">
        <v>949</v>
      </c>
      <c r="AH33" s="1">
        <v>237</v>
      </c>
      <c r="AI33" s="1">
        <v>326</v>
      </c>
      <c r="AJ33" s="1">
        <v>368</v>
      </c>
      <c r="AK33" s="1">
        <v>375</v>
      </c>
      <c r="AL33" s="1">
        <v>303</v>
      </c>
      <c r="AM33" s="8">
        <v>452</v>
      </c>
      <c r="AN33" s="8">
        <v>466</v>
      </c>
      <c r="AO33" s="1">
        <v>467</v>
      </c>
      <c r="AP33" s="1">
        <v>3509</v>
      </c>
      <c r="AQ33" s="1">
        <v>5317</v>
      </c>
    </row>
    <row r="34" spans="31:43" x14ac:dyDescent="0.3">
      <c r="AE34" s="3" t="s">
        <v>89</v>
      </c>
      <c r="AF34" s="1">
        <v>5337</v>
      </c>
      <c r="AG34" s="1">
        <v>6403</v>
      </c>
      <c r="AH34" s="1">
        <v>4939</v>
      </c>
      <c r="AI34" s="1">
        <v>7009</v>
      </c>
      <c r="AJ34" s="1">
        <v>9522</v>
      </c>
      <c r="AK34" s="1">
        <v>11387</v>
      </c>
      <c r="AL34" s="1">
        <v>12450</v>
      </c>
      <c r="AM34" s="8">
        <v>14559</v>
      </c>
      <c r="AN34" s="8">
        <v>16140</v>
      </c>
      <c r="AO34" s="1">
        <v>19198</v>
      </c>
      <c r="AP34" s="1">
        <v>23115</v>
      </c>
      <c r="AQ34" s="1">
        <v>27174</v>
      </c>
    </row>
  </sheetData>
  <mergeCells count="7">
    <mergeCell ref="A25:M25"/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914-0453-4256-B588-E45261DEAEBC}">
  <dimension ref="A1:AR36"/>
  <sheetViews>
    <sheetView topLeftCell="B1" zoomScale="90" workbookViewId="0">
      <selection activeCell="P19" sqref="P19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13</v>
      </c>
      <c r="B2" s="1">
        <v>74001</v>
      </c>
      <c r="C2" s="1">
        <v>71448</v>
      </c>
      <c r="D2" s="1">
        <v>75841</v>
      </c>
      <c r="E2" s="1">
        <v>83773</v>
      </c>
      <c r="F2" s="1">
        <v>92094</v>
      </c>
      <c r="G2" s="1">
        <v>104721</v>
      </c>
      <c r="H2" s="1">
        <v>75382</v>
      </c>
      <c r="I2" s="8">
        <v>74278</v>
      </c>
      <c r="J2" s="8">
        <v>90171</v>
      </c>
      <c r="K2" s="1">
        <v>121269</v>
      </c>
      <c r="L2" s="1">
        <v>139078</v>
      </c>
      <c r="M2" s="1">
        <v>159211</v>
      </c>
      <c r="P2" s="3" t="s">
        <v>51</v>
      </c>
      <c r="Q2" s="1">
        <v>-244</v>
      </c>
      <c r="R2" s="1">
        <v>1055</v>
      </c>
      <c r="S2" s="1">
        <v>2385</v>
      </c>
      <c r="T2" s="1">
        <v>183</v>
      </c>
      <c r="U2" s="1">
        <v>682</v>
      </c>
      <c r="V2" s="1">
        <v>-4347</v>
      </c>
      <c r="W2" s="3">
        <v>-1457</v>
      </c>
      <c r="X2" s="35">
        <v>17909</v>
      </c>
      <c r="Y2" s="35">
        <v>9248</v>
      </c>
      <c r="Z2" s="1">
        <v>-7074</v>
      </c>
      <c r="AA2" s="1">
        <v>-5630</v>
      </c>
      <c r="AB2" s="1">
        <v>3176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  <c r="AR2" s="2"/>
    </row>
    <row r="3" spans="1:44" x14ac:dyDescent="0.3">
      <c r="A3" s="3" t="s">
        <v>14</v>
      </c>
      <c r="B3" s="1">
        <v>63830</v>
      </c>
      <c r="C3" s="1">
        <v>62655</v>
      </c>
      <c r="D3" s="1">
        <v>65759</v>
      </c>
      <c r="E3" s="1">
        <v>73038</v>
      </c>
      <c r="F3" s="1">
        <v>78868</v>
      </c>
      <c r="G3" s="1">
        <v>89514</v>
      </c>
      <c r="H3" s="1">
        <v>65224</v>
      </c>
      <c r="I3" s="8">
        <v>62791</v>
      </c>
      <c r="J3" s="8">
        <v>75488</v>
      </c>
      <c r="K3" s="1">
        <v>100983</v>
      </c>
      <c r="L3" s="1">
        <v>114186</v>
      </c>
      <c r="M3" s="1">
        <v>128693</v>
      </c>
      <c r="P3" s="3" t="s">
        <v>35</v>
      </c>
      <c r="Q3" s="1">
        <v>8086</v>
      </c>
      <c r="R3" s="1">
        <v>6454</v>
      </c>
      <c r="S3" s="1">
        <v>7595</v>
      </c>
      <c r="T3" s="1">
        <v>7911</v>
      </c>
      <c r="U3" s="1">
        <v>10159</v>
      </c>
      <c r="V3" s="1">
        <v>11112</v>
      </c>
      <c r="W3" s="3">
        <v>7774</v>
      </c>
      <c r="X3" s="35">
        <v>7588</v>
      </c>
      <c r="Y3" s="35">
        <v>10515</v>
      </c>
      <c r="Z3" s="1">
        <v>15642</v>
      </c>
      <c r="AA3" s="1">
        <v>17541</v>
      </c>
      <c r="AB3" s="1">
        <v>22050</v>
      </c>
      <c r="AE3" s="3" t="s">
        <v>56</v>
      </c>
      <c r="AF3" s="1">
        <v>295</v>
      </c>
      <c r="AG3" s="1">
        <v>296</v>
      </c>
      <c r="AH3" s="1">
        <v>270</v>
      </c>
      <c r="AI3" s="1">
        <v>311</v>
      </c>
      <c r="AJ3" s="1">
        <v>543</v>
      </c>
      <c r="AK3" s="1">
        <v>544</v>
      </c>
      <c r="AL3" s="1">
        <v>554</v>
      </c>
      <c r="AM3" s="8">
        <v>555</v>
      </c>
      <c r="AN3" s="8">
        <v>556</v>
      </c>
      <c r="AO3" s="1">
        <v>557</v>
      </c>
      <c r="AP3" s="1">
        <v>557</v>
      </c>
      <c r="AQ3" s="1">
        <v>558</v>
      </c>
      <c r="AR3" s="3">
        <v>558</v>
      </c>
    </row>
    <row r="4" spans="1:44" x14ac:dyDescent="0.3">
      <c r="A4" s="3" t="s">
        <v>15</v>
      </c>
      <c r="B4" s="1">
        <v>10170</v>
      </c>
      <c r="C4" s="1">
        <v>8793</v>
      </c>
      <c r="D4" s="1">
        <v>10082</v>
      </c>
      <c r="E4" s="1">
        <v>10735</v>
      </c>
      <c r="F4" s="1">
        <v>13226</v>
      </c>
      <c r="G4" s="1">
        <v>15207</v>
      </c>
      <c r="H4" s="1">
        <v>10158</v>
      </c>
      <c r="I4" s="8">
        <v>11487</v>
      </c>
      <c r="J4" s="8">
        <v>14683</v>
      </c>
      <c r="K4" s="1">
        <v>20285</v>
      </c>
      <c r="L4" s="1">
        <v>24892</v>
      </c>
      <c r="M4" s="1">
        <v>30518</v>
      </c>
      <c r="P4" s="3" t="s">
        <v>36</v>
      </c>
      <c r="Q4" s="1">
        <v>-2258</v>
      </c>
      <c r="R4" s="1">
        <v>-575</v>
      </c>
      <c r="S4" s="1">
        <v>177</v>
      </c>
      <c r="T4" s="1">
        <v>-8609</v>
      </c>
      <c r="U4" s="1">
        <v>-11918</v>
      </c>
      <c r="V4" s="1">
        <v>-13712</v>
      </c>
      <c r="W4" s="3">
        <v>-1516</v>
      </c>
      <c r="X4" s="35">
        <v>4896</v>
      </c>
      <c r="Y4" s="35">
        <v>-2506</v>
      </c>
      <c r="Z4" s="1">
        <v>-21702</v>
      </c>
      <c r="AA4" s="1">
        <v>-21777</v>
      </c>
      <c r="AB4" s="1">
        <v>-20952</v>
      </c>
      <c r="AE4" s="3" t="s">
        <v>57</v>
      </c>
      <c r="AF4" s="1">
        <v>23012</v>
      </c>
      <c r="AG4" s="1">
        <v>25561</v>
      </c>
      <c r="AH4" s="1">
        <v>26222</v>
      </c>
      <c r="AI4" s="1">
        <v>29467</v>
      </c>
      <c r="AJ4" s="1">
        <v>36232</v>
      </c>
      <c r="AK4" s="1">
        <v>39439</v>
      </c>
      <c r="AL4" s="1">
        <v>39415</v>
      </c>
      <c r="AM4" s="8">
        <v>41027</v>
      </c>
      <c r="AN4" s="8">
        <v>46567</v>
      </c>
      <c r="AO4" s="1">
        <v>55809</v>
      </c>
      <c r="AP4" s="1">
        <v>65633</v>
      </c>
      <c r="AQ4" s="1">
        <v>76481</v>
      </c>
      <c r="AR4" s="3">
        <v>82286</v>
      </c>
    </row>
    <row r="5" spans="1:44" x14ac:dyDescent="0.3">
      <c r="A5" s="3" t="s">
        <v>16</v>
      </c>
      <c r="B5" s="1">
        <v>14</v>
      </c>
      <c r="C5" s="1">
        <v>12</v>
      </c>
      <c r="D5" s="1">
        <v>13</v>
      </c>
      <c r="E5" s="1">
        <v>13</v>
      </c>
      <c r="F5" s="1">
        <v>14</v>
      </c>
      <c r="G5" s="1">
        <v>15</v>
      </c>
      <c r="H5" s="1">
        <v>13</v>
      </c>
      <c r="I5" s="8">
        <v>15</v>
      </c>
      <c r="J5" s="8">
        <v>16</v>
      </c>
      <c r="K5" s="1">
        <v>17</v>
      </c>
      <c r="L5" s="1">
        <v>18</v>
      </c>
      <c r="M5" s="1">
        <v>19</v>
      </c>
      <c r="P5" s="3" t="s">
        <v>37</v>
      </c>
      <c r="Q5" s="1">
        <v>-78</v>
      </c>
      <c r="R5" s="1">
        <v>-62</v>
      </c>
      <c r="S5" s="1">
        <v>-1113</v>
      </c>
      <c r="T5" s="1">
        <v>241</v>
      </c>
      <c r="U5" s="1">
        <v>-256</v>
      </c>
      <c r="V5" s="1">
        <v>-2276</v>
      </c>
      <c r="W5" s="3">
        <v>1316</v>
      </c>
      <c r="X5" s="35">
        <v>226</v>
      </c>
      <c r="Y5" s="35">
        <v>-2173</v>
      </c>
      <c r="Z5" s="1">
        <v>-5252</v>
      </c>
      <c r="AA5" s="1">
        <v>-1753</v>
      </c>
      <c r="AB5" s="1">
        <v>-1646</v>
      </c>
      <c r="AE5" s="3" t="s">
        <v>58</v>
      </c>
      <c r="AF5" s="1">
        <v>35167</v>
      </c>
      <c r="AG5" s="1">
        <v>37911</v>
      </c>
      <c r="AH5" s="1">
        <v>41553</v>
      </c>
      <c r="AI5" s="1">
        <v>48762</v>
      </c>
      <c r="AJ5" s="1">
        <v>55898</v>
      </c>
      <c r="AK5" s="1">
        <v>70848</v>
      </c>
      <c r="AL5" s="1">
        <v>82092</v>
      </c>
      <c r="AM5" s="8">
        <v>80625</v>
      </c>
      <c r="AN5" s="8">
        <v>77605</v>
      </c>
      <c r="AO5" s="1">
        <v>92247</v>
      </c>
      <c r="AP5" s="1">
        <v>108647</v>
      </c>
      <c r="AQ5" s="1">
        <v>129025</v>
      </c>
      <c r="AR5" s="3">
        <v>126709</v>
      </c>
    </row>
    <row r="6" spans="1:44" x14ac:dyDescent="0.3">
      <c r="A6" s="3" t="s">
        <v>17</v>
      </c>
      <c r="B6" s="1">
        <v>773</v>
      </c>
      <c r="C6" s="1">
        <v>800</v>
      </c>
      <c r="D6" s="1">
        <v>1399</v>
      </c>
      <c r="E6" s="1">
        <v>2077</v>
      </c>
      <c r="F6" s="1">
        <v>4366</v>
      </c>
      <c r="G6" s="1">
        <v>2676</v>
      </c>
      <c r="H6" s="1">
        <v>885</v>
      </c>
      <c r="I6" s="8">
        <v>1152</v>
      </c>
      <c r="J6" s="8">
        <v>3204</v>
      </c>
      <c r="K6" s="1">
        <v>3961</v>
      </c>
      <c r="L6" s="1">
        <v>3298</v>
      </c>
      <c r="M6" s="1">
        <v>3718</v>
      </c>
      <c r="P6" s="3" t="s">
        <v>38</v>
      </c>
      <c r="Q6" s="1">
        <v>1094</v>
      </c>
      <c r="R6" s="1">
        <v>1169</v>
      </c>
      <c r="S6" s="1">
        <v>1939</v>
      </c>
      <c r="T6" s="1">
        <v>2645</v>
      </c>
      <c r="U6" s="1">
        <v>5361</v>
      </c>
      <c r="V6" s="1">
        <v>3466</v>
      </c>
      <c r="W6" s="3">
        <v>-6775</v>
      </c>
      <c r="X6" s="35">
        <v>7049</v>
      </c>
      <c r="Y6" s="35">
        <v>4972</v>
      </c>
      <c r="Z6" s="1">
        <v>7013</v>
      </c>
      <c r="AA6" s="1">
        <v>4354</v>
      </c>
      <c r="AB6" s="1">
        <v>8485</v>
      </c>
      <c r="AE6" s="3" t="s">
        <v>59</v>
      </c>
      <c r="AF6" s="1">
        <v>25492</v>
      </c>
      <c r="AG6" s="1">
        <v>22327</v>
      </c>
      <c r="AH6" s="1">
        <v>23599</v>
      </c>
      <c r="AI6" s="1">
        <v>30125</v>
      </c>
      <c r="AJ6" s="1">
        <v>33809</v>
      </c>
      <c r="AK6" s="1">
        <v>43526</v>
      </c>
      <c r="AL6" s="1">
        <v>52298</v>
      </c>
      <c r="AM6" s="8">
        <v>52778</v>
      </c>
      <c r="AN6" s="8">
        <v>48625</v>
      </c>
      <c r="AO6" s="1">
        <v>55027</v>
      </c>
      <c r="AP6" s="1">
        <v>69741</v>
      </c>
      <c r="AQ6" s="1">
        <v>83782</v>
      </c>
      <c r="AR6" s="3">
        <v>76790</v>
      </c>
    </row>
    <row r="7" spans="1:44" x14ac:dyDescent="0.3">
      <c r="A7" s="3" t="s">
        <v>18</v>
      </c>
      <c r="B7" s="1">
        <v>2954</v>
      </c>
      <c r="C7" s="1">
        <v>3157</v>
      </c>
      <c r="D7" s="1">
        <v>3368</v>
      </c>
      <c r="E7" s="1">
        <v>3648</v>
      </c>
      <c r="F7" s="1">
        <v>3987</v>
      </c>
      <c r="G7" s="1">
        <v>5021</v>
      </c>
      <c r="H7" s="1">
        <v>6021</v>
      </c>
      <c r="I7" s="8">
        <v>6102</v>
      </c>
      <c r="J7" s="8">
        <v>5018</v>
      </c>
      <c r="K7" s="1">
        <v>5830</v>
      </c>
      <c r="L7" s="1">
        <v>7488</v>
      </c>
      <c r="M7" s="1">
        <v>9083</v>
      </c>
      <c r="P7" s="3" t="s">
        <v>39</v>
      </c>
      <c r="Q7" s="1">
        <v>-5814</v>
      </c>
      <c r="R7" s="1">
        <v>-4229</v>
      </c>
      <c r="S7" s="1">
        <v>0</v>
      </c>
      <c r="T7" s="1">
        <v>0</v>
      </c>
      <c r="U7" s="1">
        <v>0</v>
      </c>
      <c r="V7" s="1">
        <v>0</v>
      </c>
      <c r="W7" s="3">
        <v>0</v>
      </c>
      <c r="X7" s="35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60</v>
      </c>
      <c r="AF7" s="1">
        <v>2781</v>
      </c>
      <c r="AG7" s="1">
        <v>7177</v>
      </c>
      <c r="AH7" s="1">
        <v>7077</v>
      </c>
      <c r="AI7" s="1">
        <v>10122</v>
      </c>
      <c r="AJ7" s="1">
        <v>11326</v>
      </c>
      <c r="AK7" s="1">
        <v>10541</v>
      </c>
      <c r="AL7" s="1">
        <v>10218</v>
      </c>
      <c r="AM7" s="8">
        <v>4647</v>
      </c>
      <c r="AN7" s="8">
        <v>26042</v>
      </c>
      <c r="AO7" s="1">
        <v>33740</v>
      </c>
      <c r="AP7" s="1">
        <v>35484</v>
      </c>
      <c r="AQ7" s="1">
        <v>41466</v>
      </c>
      <c r="AR7" s="3">
        <v>45865</v>
      </c>
    </row>
    <row r="8" spans="1:44" x14ac:dyDescent="0.3">
      <c r="A8" s="3" t="s">
        <v>19</v>
      </c>
      <c r="B8" s="1">
        <v>2170</v>
      </c>
      <c r="C8" s="1">
        <v>2124</v>
      </c>
      <c r="D8" s="1">
        <v>2442</v>
      </c>
      <c r="E8" s="1">
        <v>2813</v>
      </c>
      <c r="F8" s="1">
        <v>3280</v>
      </c>
      <c r="G8" s="1">
        <v>3991</v>
      </c>
      <c r="H8" s="1">
        <v>3367</v>
      </c>
      <c r="I8" s="8">
        <v>3378</v>
      </c>
      <c r="J8" s="8">
        <v>3508</v>
      </c>
      <c r="K8" s="1">
        <v>4357</v>
      </c>
      <c r="L8" s="1">
        <v>4724</v>
      </c>
      <c r="M8" s="1">
        <v>6074</v>
      </c>
      <c r="P8" s="3" t="s">
        <v>40</v>
      </c>
      <c r="Q8" s="1">
        <v>0</v>
      </c>
      <c r="R8" s="1">
        <v>0</v>
      </c>
      <c r="S8" s="1">
        <v>-4241</v>
      </c>
      <c r="T8" s="1">
        <v>0</v>
      </c>
      <c r="U8" s="1">
        <v>0</v>
      </c>
      <c r="V8" s="1">
        <v>0</v>
      </c>
      <c r="W8" s="3">
        <v>0</v>
      </c>
      <c r="X8" s="35">
        <v>0</v>
      </c>
      <c r="Y8" s="35">
        <v>0</v>
      </c>
      <c r="Z8" s="1">
        <v>0</v>
      </c>
      <c r="AA8" s="1">
        <v>0</v>
      </c>
      <c r="AB8" s="1">
        <v>0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8">
        <v>2666</v>
      </c>
      <c r="AN8" s="8">
        <v>2938</v>
      </c>
      <c r="AO8" s="1">
        <v>3480</v>
      </c>
      <c r="AP8" s="1">
        <v>3422</v>
      </c>
      <c r="AQ8" s="1">
        <v>3776</v>
      </c>
      <c r="AR8" s="3">
        <v>4054</v>
      </c>
    </row>
    <row r="9" spans="1:44" x14ac:dyDescent="0.3">
      <c r="A9" s="3" t="s">
        <v>20</v>
      </c>
      <c r="B9" s="1">
        <v>5820</v>
      </c>
      <c r="C9" s="1">
        <v>4313</v>
      </c>
      <c r="D9" s="1">
        <v>5672</v>
      </c>
      <c r="E9" s="1">
        <v>6350</v>
      </c>
      <c r="F9" s="1">
        <v>10326</v>
      </c>
      <c r="G9" s="1">
        <v>8871</v>
      </c>
      <c r="H9" s="1">
        <v>1655</v>
      </c>
      <c r="I9" s="8">
        <v>3158</v>
      </c>
      <c r="J9" s="8">
        <v>9362</v>
      </c>
      <c r="K9" s="1">
        <v>14060</v>
      </c>
      <c r="L9" s="1">
        <v>15978</v>
      </c>
      <c r="M9" s="1">
        <v>19080</v>
      </c>
      <c r="P9" s="3" t="s">
        <v>53</v>
      </c>
      <c r="Q9" s="1">
        <v>-7055</v>
      </c>
      <c r="R9" s="1">
        <v>-3698</v>
      </c>
      <c r="S9" s="1">
        <v>-3238</v>
      </c>
      <c r="T9" s="1">
        <v>-5724</v>
      </c>
      <c r="U9" s="1">
        <v>-6813</v>
      </c>
      <c r="V9" s="1">
        <v>-12522</v>
      </c>
      <c r="W9" s="3">
        <v>-6974</v>
      </c>
      <c r="X9" s="35">
        <v>12171</v>
      </c>
      <c r="Y9" s="35">
        <v>293</v>
      </c>
      <c r="Z9" s="1">
        <v>-19941</v>
      </c>
      <c r="AA9" s="1">
        <v>-19175</v>
      </c>
      <c r="AB9" s="1">
        <v>-14113</v>
      </c>
      <c r="AE9" s="3" t="s">
        <v>90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8">
        <v>0</v>
      </c>
      <c r="AN9" s="8">
        <v>0</v>
      </c>
      <c r="AO9" s="1">
        <v>0</v>
      </c>
      <c r="AP9" s="1">
        <v>2022</v>
      </c>
      <c r="AQ9" s="1">
        <v>4075</v>
      </c>
      <c r="AR9" s="3">
        <v>0</v>
      </c>
    </row>
    <row r="10" spans="1:44" x14ac:dyDescent="0.3">
      <c r="A10" s="3" t="s">
        <v>21</v>
      </c>
      <c r="B10" s="1">
        <v>26</v>
      </c>
      <c r="C10" s="1">
        <v>40</v>
      </c>
      <c r="D10" s="1">
        <v>37</v>
      </c>
      <c r="E10" s="1">
        <v>36</v>
      </c>
      <c r="F10" s="1">
        <v>23</v>
      </c>
      <c r="G10" s="1">
        <v>32</v>
      </c>
      <c r="H10" s="1">
        <v>119</v>
      </c>
      <c r="I10" s="8">
        <v>52</v>
      </c>
      <c r="J10" s="8">
        <v>23</v>
      </c>
      <c r="K10" s="1">
        <v>19</v>
      </c>
      <c r="L10" s="1">
        <v>23</v>
      </c>
      <c r="M10" s="1">
        <v>26</v>
      </c>
      <c r="P10" s="3" t="s">
        <v>41</v>
      </c>
      <c r="Q10" s="1">
        <v>-1275</v>
      </c>
      <c r="R10" s="1">
        <v>-1701</v>
      </c>
      <c r="S10" s="1">
        <v>-1973</v>
      </c>
      <c r="T10" s="1">
        <v>-2005</v>
      </c>
      <c r="U10" s="1">
        <v>-2664</v>
      </c>
      <c r="V10" s="1">
        <v>-2937</v>
      </c>
      <c r="W10" s="3">
        <v>-2257</v>
      </c>
      <c r="X10" s="35">
        <v>-1850</v>
      </c>
      <c r="Y10" s="35">
        <v>-1560</v>
      </c>
      <c r="Z10" s="1">
        <v>-2775</v>
      </c>
      <c r="AA10" s="1">
        <v>-3996</v>
      </c>
      <c r="AB10" s="1">
        <v>-4761</v>
      </c>
      <c r="AE10" s="3" t="s">
        <v>62</v>
      </c>
      <c r="AF10" s="1">
        <v>6894</v>
      </c>
      <c r="AG10" s="1">
        <v>8407</v>
      </c>
      <c r="AH10" s="1">
        <v>10877</v>
      </c>
      <c r="AI10" s="1">
        <v>8516</v>
      </c>
      <c r="AJ10" s="1">
        <v>10763</v>
      </c>
      <c r="AK10" s="1">
        <v>16781</v>
      </c>
      <c r="AL10" s="1">
        <v>19577</v>
      </c>
      <c r="AM10" s="8">
        <v>20533</v>
      </c>
      <c r="AN10" s="8">
        <v>0</v>
      </c>
      <c r="AO10" s="1">
        <v>0</v>
      </c>
      <c r="AP10" s="1">
        <v>-2022</v>
      </c>
      <c r="AQ10" s="1">
        <v>-4075</v>
      </c>
      <c r="AR10" s="3"/>
    </row>
    <row r="11" spans="1:44" x14ac:dyDescent="0.3">
      <c r="A11" s="3" t="s">
        <v>22</v>
      </c>
      <c r="B11" s="1">
        <v>5154</v>
      </c>
      <c r="C11" s="1">
        <v>3381</v>
      </c>
      <c r="D11" s="1">
        <v>3554</v>
      </c>
      <c r="E11" s="1">
        <v>4051</v>
      </c>
      <c r="F11" s="1">
        <v>7958</v>
      </c>
      <c r="G11" s="1">
        <v>6017</v>
      </c>
      <c r="H11" s="1">
        <v>-321</v>
      </c>
      <c r="I11" s="8">
        <v>1512</v>
      </c>
      <c r="J11" s="8">
        <v>7253</v>
      </c>
      <c r="K11" s="1">
        <v>11374</v>
      </c>
      <c r="L11" s="1">
        <v>12270</v>
      </c>
      <c r="M11" s="1">
        <v>14073</v>
      </c>
      <c r="AE11" s="3" t="s">
        <v>63</v>
      </c>
      <c r="AF11" s="1">
        <v>29415</v>
      </c>
      <c r="AG11" s="1">
        <v>30608</v>
      </c>
      <c r="AH11" s="1">
        <v>31806</v>
      </c>
      <c r="AI11" s="1">
        <v>35296</v>
      </c>
      <c r="AJ11" s="1">
        <v>43696</v>
      </c>
      <c r="AK11" s="1">
        <v>51057</v>
      </c>
      <c r="AL11" s="1">
        <v>43655</v>
      </c>
      <c r="AM11" s="8">
        <v>42762</v>
      </c>
      <c r="AN11" s="8">
        <v>47661</v>
      </c>
      <c r="AO11" s="1">
        <v>55670</v>
      </c>
      <c r="AP11" s="1">
        <v>59884</v>
      </c>
      <c r="AQ11" s="1">
        <v>69950</v>
      </c>
      <c r="AR11" s="3">
        <v>83376</v>
      </c>
    </row>
    <row r="12" spans="1:44" x14ac:dyDescent="0.3">
      <c r="A12" s="3" t="s">
        <v>46</v>
      </c>
      <c r="B12" s="1">
        <v>37.89</v>
      </c>
      <c r="C12" s="1">
        <v>25.26</v>
      </c>
      <c r="D12" s="1">
        <v>25.35</v>
      </c>
      <c r="E12" s="1">
        <v>29.77</v>
      </c>
      <c r="F12" s="1">
        <v>60.41</v>
      </c>
      <c r="G12" s="1">
        <v>42.76</v>
      </c>
      <c r="H12" s="1">
        <v>1.02</v>
      </c>
      <c r="I12" s="8">
        <v>14.58</v>
      </c>
      <c r="J12" s="8">
        <v>52.91</v>
      </c>
      <c r="K12" s="1">
        <v>82.68</v>
      </c>
      <c r="L12" s="1">
        <v>90.62</v>
      </c>
      <c r="M12" s="1">
        <v>103.97</v>
      </c>
      <c r="AE12" s="3" t="s">
        <v>64</v>
      </c>
      <c r="AF12" s="1">
        <v>5733</v>
      </c>
      <c r="AG12" s="1">
        <v>5892</v>
      </c>
      <c r="AH12" s="1">
        <v>5920</v>
      </c>
      <c r="AI12" s="1">
        <v>6357</v>
      </c>
      <c r="AJ12" s="1">
        <v>8250</v>
      </c>
      <c r="AK12" s="1">
        <v>8361</v>
      </c>
      <c r="AL12" s="1">
        <v>7692</v>
      </c>
      <c r="AM12" s="8">
        <v>9070</v>
      </c>
      <c r="AN12" s="8">
        <v>9703</v>
      </c>
      <c r="AO12" s="1">
        <v>10716</v>
      </c>
      <c r="AP12" s="1">
        <v>11319</v>
      </c>
      <c r="AQ12" s="1">
        <v>12059</v>
      </c>
      <c r="AR12" s="3">
        <v>15247</v>
      </c>
    </row>
    <row r="13" spans="1:44" x14ac:dyDescent="0.3">
      <c r="A13" s="3" t="s">
        <v>24</v>
      </c>
      <c r="B13" s="1">
        <v>18</v>
      </c>
      <c r="C13" s="1">
        <v>23</v>
      </c>
      <c r="D13" s="1">
        <v>21</v>
      </c>
      <c r="E13" s="1">
        <v>22</v>
      </c>
      <c r="F13" s="1">
        <v>11</v>
      </c>
      <c r="G13" s="1">
        <v>17</v>
      </c>
      <c r="H13" s="1">
        <v>205</v>
      </c>
      <c r="I13" s="8">
        <v>54</v>
      </c>
      <c r="J13" s="8">
        <v>20</v>
      </c>
      <c r="K13" s="1">
        <v>18</v>
      </c>
      <c r="L13" s="1">
        <v>21</v>
      </c>
      <c r="M13" s="1">
        <v>22</v>
      </c>
      <c r="AE13" s="3" t="s">
        <v>65</v>
      </c>
      <c r="AF13" s="1">
        <v>11800</v>
      </c>
      <c r="AG13" s="1">
        <v>11421</v>
      </c>
      <c r="AH13" s="1">
        <v>13376</v>
      </c>
      <c r="AI13" s="1">
        <v>14797</v>
      </c>
      <c r="AJ13" s="1">
        <v>18287</v>
      </c>
      <c r="AK13" s="1">
        <v>20992</v>
      </c>
      <c r="AL13" s="1">
        <v>14985</v>
      </c>
      <c r="AM13" s="8">
        <v>15506</v>
      </c>
      <c r="AN13" s="8">
        <v>19037</v>
      </c>
      <c r="AO13" s="1">
        <v>23836</v>
      </c>
      <c r="AP13" s="1">
        <v>25666</v>
      </c>
      <c r="AQ13" s="1">
        <v>30855</v>
      </c>
      <c r="AR13" s="3">
        <v>34622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66</v>
      </c>
      <c r="AF14" s="1">
        <v>0</v>
      </c>
      <c r="AG14" s="1">
        <v>0</v>
      </c>
      <c r="AH14" s="1">
        <v>801</v>
      </c>
      <c r="AI14" s="1">
        <v>515</v>
      </c>
      <c r="AJ14" s="1">
        <v>844</v>
      </c>
      <c r="AK14" s="1">
        <v>0</v>
      </c>
      <c r="AL14" s="1">
        <v>0</v>
      </c>
      <c r="AM14" s="8">
        <v>0</v>
      </c>
      <c r="AN14" s="8">
        <v>0</v>
      </c>
      <c r="AO14" s="1">
        <v>0</v>
      </c>
      <c r="AP14" s="1">
        <v>0</v>
      </c>
      <c r="AQ14" s="1">
        <v>0</v>
      </c>
      <c r="AR14" s="3"/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67</v>
      </c>
      <c r="AF15" s="2">
        <v>11882</v>
      </c>
      <c r="AG15" s="2">
        <v>13295</v>
      </c>
      <c r="AH15" s="2">
        <v>11709</v>
      </c>
      <c r="AI15" s="2">
        <v>13627</v>
      </c>
      <c r="AJ15" s="2">
        <v>16314</v>
      </c>
      <c r="AK15" s="2">
        <v>21704</v>
      </c>
      <c r="AL15" s="2">
        <v>20977</v>
      </c>
      <c r="AM15" s="7">
        <v>18185</v>
      </c>
      <c r="AN15" s="7">
        <v>18921</v>
      </c>
      <c r="AO15" s="2">
        <v>21119</v>
      </c>
      <c r="AP15" s="2">
        <v>22900</v>
      </c>
      <c r="AQ15" s="2">
        <v>27035</v>
      </c>
      <c r="AR15" s="2">
        <v>33507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68</v>
      </c>
      <c r="AF16" s="1">
        <v>87889</v>
      </c>
      <c r="AG16" s="1">
        <v>94376</v>
      </c>
      <c r="AH16" s="1">
        <v>99852</v>
      </c>
      <c r="AI16" s="1">
        <v>113835</v>
      </c>
      <c r="AJ16" s="1">
        <v>136369</v>
      </c>
      <c r="AK16" s="1">
        <v>161889</v>
      </c>
      <c r="AL16" s="1">
        <v>165716</v>
      </c>
      <c r="AM16" s="8">
        <v>164968</v>
      </c>
      <c r="AN16" s="8">
        <v>172388</v>
      </c>
      <c r="AO16" s="1">
        <v>204283</v>
      </c>
      <c r="AP16" s="1">
        <v>234722</v>
      </c>
      <c r="AQ16" s="1">
        <v>276013</v>
      </c>
      <c r="AR16" s="3">
        <v>292930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69</v>
      </c>
      <c r="AF17" s="1">
        <v>18381</v>
      </c>
      <c r="AG17" s="1">
        <v>19047</v>
      </c>
      <c r="AH17" s="1">
        <v>20585</v>
      </c>
      <c r="AI17" s="1">
        <v>20989</v>
      </c>
      <c r="AJ17" s="1">
        <v>26182</v>
      </c>
      <c r="AK17" s="1">
        <v>28983</v>
      </c>
      <c r="AL17" s="1">
        <v>29689</v>
      </c>
      <c r="AM17" s="8">
        <v>21380</v>
      </c>
      <c r="AN17" s="8">
        <v>26018</v>
      </c>
      <c r="AO17" s="1">
        <v>27140</v>
      </c>
      <c r="AP17" s="1">
        <v>28129</v>
      </c>
      <c r="AQ17" s="1">
        <v>34636</v>
      </c>
      <c r="AR17" s="3">
        <v>41872</v>
      </c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70</v>
      </c>
      <c r="AF18" s="1">
        <v>3421</v>
      </c>
      <c r="AG18" s="1">
        <v>3693</v>
      </c>
      <c r="AH18" s="1">
        <v>3575</v>
      </c>
      <c r="AI18" s="1">
        <v>4027</v>
      </c>
      <c r="AJ18" s="1">
        <v>4285</v>
      </c>
      <c r="AK18" s="1">
        <v>4295</v>
      </c>
      <c r="AL18" s="1">
        <v>4511</v>
      </c>
      <c r="AM18" s="8">
        <v>1712</v>
      </c>
      <c r="AN18" s="8">
        <v>1931</v>
      </c>
      <c r="AO18" s="1">
        <v>1977</v>
      </c>
      <c r="AP18" s="1">
        <v>2098</v>
      </c>
      <c r="AQ18" s="1">
        <v>2115</v>
      </c>
      <c r="AR18" s="3"/>
    </row>
    <row r="19" spans="1:44" x14ac:dyDescent="0.3">
      <c r="A19" s="3" t="s">
        <v>54</v>
      </c>
      <c r="B19" s="1">
        <f>Q2</f>
        <v>-244</v>
      </c>
      <c r="C19" s="1">
        <f t="shared" ref="C19:M19" si="0">R2</f>
        <v>1055</v>
      </c>
      <c r="D19" s="1">
        <f t="shared" si="0"/>
        <v>2385</v>
      </c>
      <c r="E19" s="1">
        <f t="shared" si="0"/>
        <v>183</v>
      </c>
      <c r="F19" s="1">
        <f t="shared" si="0"/>
        <v>682</v>
      </c>
      <c r="G19" s="1">
        <f t="shared" si="0"/>
        <v>-4347</v>
      </c>
      <c r="H19" s="1">
        <f t="shared" si="0"/>
        <v>-1457</v>
      </c>
      <c r="I19" s="8">
        <f t="shared" si="0"/>
        <v>17909</v>
      </c>
      <c r="J19" s="8">
        <f t="shared" si="0"/>
        <v>9248</v>
      </c>
      <c r="K19" s="1">
        <f t="shared" si="0"/>
        <v>-7074</v>
      </c>
      <c r="L19" s="1">
        <f t="shared" si="0"/>
        <v>-5630</v>
      </c>
      <c r="M19" s="1">
        <f t="shared" si="0"/>
        <v>3176</v>
      </c>
      <c r="AE19" s="3" t="s">
        <v>71</v>
      </c>
      <c r="AF19" s="1">
        <v>7192</v>
      </c>
      <c r="AG19" s="1">
        <v>7666</v>
      </c>
      <c r="AH19" s="1">
        <v>7958</v>
      </c>
      <c r="AI19" s="1">
        <v>8084</v>
      </c>
      <c r="AJ19" s="1">
        <v>8842</v>
      </c>
      <c r="AK19" s="1">
        <v>9037</v>
      </c>
      <c r="AL19" s="1">
        <v>11956</v>
      </c>
      <c r="AM19" s="8">
        <v>8482</v>
      </c>
      <c r="AN19" s="8">
        <v>9728</v>
      </c>
      <c r="AO19" s="1">
        <v>10862</v>
      </c>
      <c r="AP19" s="1">
        <v>11496</v>
      </c>
      <c r="AQ19" s="1">
        <v>13100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72</v>
      </c>
      <c r="AF20" s="1">
        <v>23026</v>
      </c>
      <c r="AG20" s="1">
        <v>25285</v>
      </c>
      <c r="AH20" s="1">
        <v>27333</v>
      </c>
      <c r="AI20" s="1">
        <v>28316</v>
      </c>
      <c r="AJ20" s="1">
        <v>32713</v>
      </c>
      <c r="AK20" s="1">
        <v>35762</v>
      </c>
      <c r="AL20" s="1">
        <v>38492</v>
      </c>
      <c r="AM20" s="8">
        <v>22386</v>
      </c>
      <c r="AN20" s="8">
        <v>26484</v>
      </c>
      <c r="AO20" s="1">
        <v>24928</v>
      </c>
      <c r="AP20" s="1">
        <v>27230</v>
      </c>
      <c r="AQ20" s="1">
        <v>32547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73</v>
      </c>
      <c r="AF21" s="1">
        <v>229</v>
      </c>
      <c r="AG21" s="1">
        <v>268</v>
      </c>
      <c r="AH21" s="1">
        <v>317</v>
      </c>
      <c r="AI21" s="1">
        <v>351</v>
      </c>
      <c r="AJ21" s="1">
        <v>372</v>
      </c>
      <c r="AK21" s="1">
        <v>384</v>
      </c>
      <c r="AL21" s="1">
        <v>417</v>
      </c>
      <c r="AM21" s="8">
        <v>418</v>
      </c>
      <c r="AN21" s="8">
        <v>445</v>
      </c>
      <c r="AO21" s="1">
        <v>452</v>
      </c>
      <c r="AP21" s="1">
        <v>481</v>
      </c>
      <c r="AQ21" s="1">
        <v>493</v>
      </c>
      <c r="AR21" s="3"/>
    </row>
    <row r="22" spans="1:44" x14ac:dyDescent="0.3">
      <c r="A22" s="2" t="s">
        <v>26</v>
      </c>
      <c r="B22" s="6">
        <f>B12-B19</f>
        <v>281.89</v>
      </c>
      <c r="C22" s="1">
        <f t="shared" ref="C22:M22" si="1">C12-C19</f>
        <v>-1029.74</v>
      </c>
      <c r="D22" s="1">
        <f t="shared" si="1"/>
        <v>-2359.65</v>
      </c>
      <c r="E22" s="1">
        <f t="shared" si="1"/>
        <v>-153.22999999999999</v>
      </c>
      <c r="F22" s="1">
        <f t="shared" si="1"/>
        <v>-621.59</v>
      </c>
      <c r="G22" s="52">
        <f t="shared" si="1"/>
        <v>4389.76</v>
      </c>
      <c r="H22" s="52">
        <f t="shared" si="1"/>
        <v>1458.02</v>
      </c>
      <c r="I22" s="8">
        <f t="shared" si="1"/>
        <v>-17894.419999999998</v>
      </c>
      <c r="J22" s="8">
        <f t="shared" si="1"/>
        <v>-9195.09</v>
      </c>
      <c r="K22" s="6">
        <f t="shared" si="1"/>
        <v>7156.68</v>
      </c>
      <c r="L22" s="6">
        <f t="shared" si="1"/>
        <v>5720.62</v>
      </c>
      <c r="M22" s="1">
        <f t="shared" si="1"/>
        <v>-3072.03</v>
      </c>
      <c r="AE22" s="3" t="s">
        <v>75</v>
      </c>
      <c r="AF22" s="1">
        <v>1109</v>
      </c>
      <c r="AG22" s="1">
        <v>909</v>
      </c>
      <c r="AH22" s="1">
        <v>944</v>
      </c>
      <c r="AI22" s="1">
        <v>974</v>
      </c>
      <c r="AJ22" s="1">
        <v>1059</v>
      </c>
      <c r="AK22" s="1">
        <v>1079</v>
      </c>
      <c r="AL22" s="1">
        <v>1160</v>
      </c>
      <c r="AM22" s="8">
        <v>805</v>
      </c>
      <c r="AN22" s="8">
        <v>844</v>
      </c>
      <c r="AO22" s="1">
        <v>925</v>
      </c>
      <c r="AP22" s="1">
        <v>1011</v>
      </c>
      <c r="AQ22" s="1">
        <v>1118</v>
      </c>
      <c r="AR22" s="3"/>
    </row>
    <row r="23" spans="1:44" x14ac:dyDescent="0.3">
      <c r="AE23" s="3" t="s">
        <v>76</v>
      </c>
      <c r="AF23" s="1">
        <v>573</v>
      </c>
      <c r="AG23" s="1">
        <v>615</v>
      </c>
      <c r="AH23" s="1">
        <v>652</v>
      </c>
      <c r="AI23" s="1">
        <v>703</v>
      </c>
      <c r="AJ23" s="1">
        <v>788</v>
      </c>
      <c r="AK23" s="1">
        <v>847</v>
      </c>
      <c r="AL23" s="1">
        <v>1068</v>
      </c>
      <c r="AM23" s="8">
        <v>986</v>
      </c>
      <c r="AN23" s="8">
        <v>1090</v>
      </c>
      <c r="AO23" s="1">
        <v>1238</v>
      </c>
      <c r="AP23" s="1">
        <v>1356</v>
      </c>
      <c r="AQ23" s="1">
        <v>1593</v>
      </c>
      <c r="AR23" s="3"/>
    </row>
    <row r="24" spans="1:44" x14ac:dyDescent="0.3">
      <c r="AE24" s="3" t="s">
        <v>77</v>
      </c>
      <c r="AF24" s="1">
        <v>2835</v>
      </c>
      <c r="AG24" s="1">
        <v>890</v>
      </c>
      <c r="AH24" s="1">
        <v>3298</v>
      </c>
      <c r="AI24" s="1">
        <v>3915</v>
      </c>
      <c r="AJ24" s="1">
        <v>7216</v>
      </c>
      <c r="AK24" s="1">
        <v>9696</v>
      </c>
      <c r="AL24" s="1">
        <v>9733</v>
      </c>
      <c r="AM24" s="8">
        <v>6932</v>
      </c>
      <c r="AN24" s="8">
        <v>7046</v>
      </c>
      <c r="AO24" s="1">
        <v>10625</v>
      </c>
      <c r="AP24" s="1">
        <v>11589</v>
      </c>
      <c r="AQ24" s="1">
        <v>13723</v>
      </c>
      <c r="AR24" s="3">
        <v>13994</v>
      </c>
    </row>
    <row r="25" spans="1:44" x14ac:dyDescent="0.3">
      <c r="AE25" s="3" t="s">
        <v>78</v>
      </c>
      <c r="AF25" s="1">
        <v>622</v>
      </c>
      <c r="AG25" s="1">
        <v>2236</v>
      </c>
      <c r="AH25" s="1">
        <v>646</v>
      </c>
      <c r="AI25" s="1">
        <v>758</v>
      </c>
      <c r="AJ25" s="1">
        <v>1064</v>
      </c>
      <c r="AK25" s="1">
        <v>1113</v>
      </c>
      <c r="AL25" s="1">
        <v>1265</v>
      </c>
      <c r="AM25" s="8">
        <v>937</v>
      </c>
      <c r="AN25" s="8">
        <v>958</v>
      </c>
      <c r="AO25" s="1">
        <v>1084</v>
      </c>
      <c r="AP25" s="1">
        <v>1202</v>
      </c>
      <c r="AQ25" s="1">
        <v>1454</v>
      </c>
      <c r="AR25" s="3"/>
    </row>
    <row r="26" spans="1:44" x14ac:dyDescent="0.3">
      <c r="AE26" s="3" t="s">
        <v>79</v>
      </c>
      <c r="AF26" s="1">
        <v>39008</v>
      </c>
      <c r="AG26" s="1">
        <v>41563</v>
      </c>
      <c r="AH26" s="1">
        <v>44723</v>
      </c>
      <c r="AI26" s="1">
        <v>47128</v>
      </c>
      <c r="AJ26" s="1">
        <v>56339</v>
      </c>
      <c r="AK26" s="1">
        <v>62211</v>
      </c>
      <c r="AL26" s="1">
        <v>68602</v>
      </c>
      <c r="AM26" s="8">
        <v>42658</v>
      </c>
      <c r="AN26" s="8">
        <v>48526</v>
      </c>
      <c r="AO26" s="1">
        <v>52090</v>
      </c>
      <c r="AP26" s="1">
        <v>56462</v>
      </c>
      <c r="AQ26" s="1">
        <v>66143</v>
      </c>
      <c r="AR26" s="3"/>
    </row>
    <row r="27" spans="1:44" x14ac:dyDescent="0.3">
      <c r="AE27" s="3" t="s">
        <v>80</v>
      </c>
      <c r="AF27" s="1">
        <v>20627</v>
      </c>
      <c r="AG27" s="1">
        <v>22516</v>
      </c>
      <c r="AH27" s="1">
        <v>24138</v>
      </c>
      <c r="AI27" s="1">
        <v>26139</v>
      </c>
      <c r="AJ27" s="1">
        <v>30157</v>
      </c>
      <c r="AK27" s="1">
        <v>33229</v>
      </c>
      <c r="AL27" s="1">
        <v>38913</v>
      </c>
      <c r="AM27" s="8">
        <v>21278</v>
      </c>
      <c r="AN27" s="8">
        <v>22508</v>
      </c>
      <c r="AO27" s="1">
        <v>24950</v>
      </c>
      <c r="AP27" s="1">
        <v>28333</v>
      </c>
      <c r="AQ27" s="1">
        <v>31506</v>
      </c>
      <c r="AR27" s="3"/>
    </row>
    <row r="28" spans="1:44" x14ac:dyDescent="0.3">
      <c r="AE28" s="2" t="s">
        <v>81</v>
      </c>
      <c r="AF28" s="2">
        <v>2191</v>
      </c>
      <c r="AG28" s="2">
        <v>3032</v>
      </c>
      <c r="AH28" s="2">
        <v>2371</v>
      </c>
      <c r="AI28" s="2">
        <v>4279</v>
      </c>
      <c r="AJ28" s="2">
        <v>4269</v>
      </c>
      <c r="AK28" s="2">
        <v>4760</v>
      </c>
      <c r="AL28" s="2">
        <v>6856</v>
      </c>
      <c r="AM28" s="7">
        <v>7873</v>
      </c>
      <c r="AN28" s="7">
        <v>6703</v>
      </c>
      <c r="AO28" s="2">
        <v>3969</v>
      </c>
      <c r="AP28" s="2">
        <v>8039</v>
      </c>
      <c r="AQ28" s="2">
        <v>8298</v>
      </c>
      <c r="AR28" s="2">
        <v>2570</v>
      </c>
    </row>
    <row r="29" spans="1:44" x14ac:dyDescent="0.3">
      <c r="AE29" s="3" t="s">
        <v>82</v>
      </c>
      <c r="AF29" s="1">
        <v>8082</v>
      </c>
      <c r="AG29" s="1">
        <v>10027</v>
      </c>
      <c r="AH29" s="1">
        <v>11603</v>
      </c>
      <c r="AI29" s="1">
        <v>14662</v>
      </c>
      <c r="AJ29" s="1">
        <v>16018</v>
      </c>
      <c r="AK29" s="1">
        <v>18268</v>
      </c>
      <c r="AL29" s="1">
        <v>19210</v>
      </c>
      <c r="AM29" s="8">
        <v>28778</v>
      </c>
      <c r="AN29" s="8">
        <v>30060</v>
      </c>
      <c r="AO29" s="1">
        <v>35272</v>
      </c>
      <c r="AP29" s="1">
        <v>35208</v>
      </c>
      <c r="AQ29" s="1">
        <v>41309</v>
      </c>
      <c r="AR29" s="3">
        <v>36327</v>
      </c>
    </row>
    <row r="30" spans="1:44" x14ac:dyDescent="0.3">
      <c r="AE30" s="3" t="s">
        <v>83</v>
      </c>
      <c r="AF30" s="1">
        <v>59234</v>
      </c>
      <c r="AG30" s="1">
        <v>62270</v>
      </c>
      <c r="AH30" s="1">
        <v>65293</v>
      </c>
      <c r="AI30" s="1">
        <v>73905</v>
      </c>
      <c r="AJ30" s="1">
        <v>89900</v>
      </c>
      <c r="AK30" s="1">
        <v>109878</v>
      </c>
      <c r="AL30" s="1">
        <v>109960</v>
      </c>
      <c r="AM30" s="8">
        <v>106938</v>
      </c>
      <c r="AN30" s="8">
        <v>109607</v>
      </c>
      <c r="AO30" s="1">
        <v>137902</v>
      </c>
      <c r="AP30" s="1">
        <v>163345</v>
      </c>
      <c r="AQ30" s="1">
        <v>191771</v>
      </c>
      <c r="AR30" s="3">
        <v>212160</v>
      </c>
    </row>
    <row r="31" spans="1:44" x14ac:dyDescent="0.3">
      <c r="AE31" s="3" t="s">
        <v>84</v>
      </c>
      <c r="AF31" s="1">
        <v>8354</v>
      </c>
      <c r="AG31" s="1">
        <v>8453</v>
      </c>
      <c r="AH31" s="1">
        <v>9116</v>
      </c>
      <c r="AI31" s="1">
        <v>8886</v>
      </c>
      <c r="AJ31" s="1">
        <v>9336</v>
      </c>
      <c r="AK31" s="1">
        <v>12200</v>
      </c>
      <c r="AL31" s="1">
        <v>11112</v>
      </c>
      <c r="AM31" s="8">
        <v>9615</v>
      </c>
      <c r="AN31" s="8">
        <v>11596</v>
      </c>
      <c r="AO31" s="1">
        <v>16855</v>
      </c>
      <c r="AP31" s="1">
        <v>18590</v>
      </c>
      <c r="AQ31" s="1">
        <v>20331</v>
      </c>
      <c r="AR31" s="3">
        <v>24588</v>
      </c>
    </row>
    <row r="32" spans="1:44" x14ac:dyDescent="0.3">
      <c r="AE32" s="3" t="s">
        <v>85</v>
      </c>
      <c r="AF32" s="1">
        <v>5725</v>
      </c>
      <c r="AG32" s="1">
        <v>5476</v>
      </c>
      <c r="AH32" s="1">
        <v>5818</v>
      </c>
      <c r="AI32" s="1">
        <v>7199</v>
      </c>
      <c r="AJ32" s="1">
        <v>8490</v>
      </c>
      <c r="AK32" s="1">
        <v>8678</v>
      </c>
      <c r="AL32" s="1">
        <v>6928</v>
      </c>
      <c r="AM32" s="8">
        <v>6008</v>
      </c>
      <c r="AN32" s="8">
        <v>6374</v>
      </c>
      <c r="AO32" s="1">
        <v>7028</v>
      </c>
      <c r="AP32" s="1">
        <v>7459</v>
      </c>
      <c r="AQ32" s="1">
        <v>8280</v>
      </c>
      <c r="AR32" s="3">
        <v>9542</v>
      </c>
    </row>
    <row r="33" spans="31:44" x14ac:dyDescent="0.3">
      <c r="AE33" s="3" t="s">
        <v>86</v>
      </c>
      <c r="AF33" s="1">
        <v>6523</v>
      </c>
      <c r="AG33" s="1">
        <v>4912</v>
      </c>
      <c r="AH33" s="1">
        <v>4528</v>
      </c>
      <c r="AI33" s="1">
        <v>4654</v>
      </c>
      <c r="AJ33" s="1">
        <v>6548</v>
      </c>
      <c r="AK33" s="1">
        <v>8735</v>
      </c>
      <c r="AL33" s="1">
        <v>7911</v>
      </c>
      <c r="AM33" s="8">
        <v>12852</v>
      </c>
      <c r="AN33" s="8">
        <v>11118</v>
      </c>
      <c r="AO33" s="1">
        <v>11273</v>
      </c>
      <c r="AP33" s="1">
        <v>12013</v>
      </c>
      <c r="AQ33" s="1">
        <v>20615</v>
      </c>
      <c r="AR33" s="3">
        <v>22265</v>
      </c>
    </row>
    <row r="34" spans="31:44" x14ac:dyDescent="0.3">
      <c r="AE34" s="3" t="s">
        <v>87</v>
      </c>
      <c r="AF34" s="1">
        <v>12070</v>
      </c>
      <c r="AG34" s="1">
        <v>-772</v>
      </c>
      <c r="AH34" s="1">
        <v>-1096</v>
      </c>
      <c r="AI34" s="1">
        <v>20566</v>
      </c>
      <c r="AJ34" s="1">
        <v>24614</v>
      </c>
      <c r="AK34" s="1">
        <v>29130</v>
      </c>
      <c r="AL34" s="1">
        <v>27859</v>
      </c>
      <c r="AM34" s="8">
        <v>29080</v>
      </c>
      <c r="AN34" s="8">
        <v>29242</v>
      </c>
      <c r="AO34" s="1">
        <v>34685</v>
      </c>
      <c r="AP34" s="1">
        <v>39060</v>
      </c>
      <c r="AQ34" s="1">
        <v>44645</v>
      </c>
      <c r="AR34" s="3">
        <v>138256</v>
      </c>
    </row>
    <row r="35" spans="31:44" x14ac:dyDescent="0.3">
      <c r="AE35" s="3" t="s">
        <v>88</v>
      </c>
      <c r="AF35" s="1">
        <v>26563</v>
      </c>
      <c r="AG35" s="1">
        <v>44201</v>
      </c>
      <c r="AH35" s="1">
        <v>46928</v>
      </c>
      <c r="AI35" s="1">
        <v>32599</v>
      </c>
      <c r="AJ35" s="1">
        <v>40913</v>
      </c>
      <c r="AK35" s="1">
        <v>51135</v>
      </c>
      <c r="AL35" s="1">
        <v>56150</v>
      </c>
      <c r="AM35" s="8">
        <v>49383</v>
      </c>
      <c r="AN35" s="8">
        <v>51277</v>
      </c>
      <c r="AO35" s="1">
        <v>68061</v>
      </c>
      <c r="AP35" s="1">
        <v>86222</v>
      </c>
      <c r="AQ35" s="1">
        <v>97900</v>
      </c>
      <c r="AR35" s="3">
        <v>17509</v>
      </c>
    </row>
    <row r="36" spans="31:44" x14ac:dyDescent="0.3">
      <c r="AE36" s="3" t="s">
        <v>89</v>
      </c>
      <c r="AF36" s="1">
        <v>87889</v>
      </c>
      <c r="AG36" s="1">
        <v>94376</v>
      </c>
      <c r="AH36" s="1">
        <v>99852</v>
      </c>
      <c r="AI36" s="1">
        <v>113835</v>
      </c>
      <c r="AJ36" s="1">
        <v>136369</v>
      </c>
      <c r="AK36" s="1">
        <v>161889</v>
      </c>
      <c r="AL36" s="1">
        <v>165716</v>
      </c>
      <c r="AM36" s="8">
        <v>164968</v>
      </c>
      <c r="AN36" s="8">
        <v>172388</v>
      </c>
      <c r="AO36" s="1">
        <v>204283</v>
      </c>
      <c r="AP36" s="1">
        <v>234722</v>
      </c>
      <c r="AQ36" s="1">
        <v>276013</v>
      </c>
      <c r="AR36" s="3">
        <v>292930</v>
      </c>
    </row>
  </sheetData>
  <mergeCells count="6"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E7A-6B1E-4800-9884-E390DF2C6C07}">
  <dimension ref="A1:AR36"/>
  <sheetViews>
    <sheetView tabSelected="1" zoomScale="70" workbookViewId="0">
      <selection activeCell="P22" sqref="P22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  <c r="AE1" s="56" t="s">
        <v>55</v>
      </c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</row>
    <row r="2" spans="1:44" x14ac:dyDescent="0.3">
      <c r="A2" s="3" t="s">
        <v>13</v>
      </c>
      <c r="B2" s="1">
        <v>232834</v>
      </c>
      <c r="C2" s="1">
        <v>263159</v>
      </c>
      <c r="D2" s="1">
        <v>273046</v>
      </c>
      <c r="E2" s="1">
        <v>269693</v>
      </c>
      <c r="F2" s="1">
        <v>291550</v>
      </c>
      <c r="G2" s="1">
        <v>301938</v>
      </c>
      <c r="H2" s="1">
        <v>261068</v>
      </c>
      <c r="I2" s="8">
        <v>249795</v>
      </c>
      <c r="J2" s="8">
        <v>278454</v>
      </c>
      <c r="K2" s="1">
        <v>345967</v>
      </c>
      <c r="L2" s="1">
        <v>434016</v>
      </c>
      <c r="M2" s="1">
        <v>439695</v>
      </c>
      <c r="P2" s="3" t="s">
        <v>51</v>
      </c>
      <c r="Q2" s="1">
        <v>36151</v>
      </c>
      <c r="R2" s="1">
        <v>35531</v>
      </c>
      <c r="S2" s="1">
        <v>37900</v>
      </c>
      <c r="T2" s="1">
        <v>30199</v>
      </c>
      <c r="U2" s="1">
        <v>23857</v>
      </c>
      <c r="V2" s="1">
        <v>18891</v>
      </c>
      <c r="W2" s="1">
        <v>26633</v>
      </c>
      <c r="X2" s="36">
        <v>29001</v>
      </c>
      <c r="Y2" s="35">
        <v>14283</v>
      </c>
      <c r="Z2" s="1">
        <v>35388</v>
      </c>
      <c r="AA2" s="1">
        <v>67915</v>
      </c>
      <c r="AB2" s="1">
        <v>63102</v>
      </c>
      <c r="AE2" s="3" t="s">
        <v>45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8" t="s">
        <v>8</v>
      </c>
      <c r="AN2" s="8" t="s">
        <v>9</v>
      </c>
      <c r="AO2" s="1" t="s">
        <v>10</v>
      </c>
      <c r="AP2" s="1" t="s">
        <v>11</v>
      </c>
      <c r="AQ2" s="1" t="s">
        <v>12</v>
      </c>
      <c r="AR2" s="3"/>
    </row>
    <row r="3" spans="1:44" x14ac:dyDescent="0.3">
      <c r="A3" s="3" t="s">
        <v>47</v>
      </c>
      <c r="B3" s="1">
        <v>23.33</v>
      </c>
      <c r="C3" s="1">
        <v>13.02</v>
      </c>
      <c r="D3" s="1">
        <v>3.76</v>
      </c>
      <c r="E3" s="1">
        <v>-1.23</v>
      </c>
      <c r="F3" s="1">
        <v>8.1</v>
      </c>
      <c r="G3" s="1">
        <v>3.56</v>
      </c>
      <c r="H3" s="1">
        <v>-13.54</v>
      </c>
      <c r="I3" s="8">
        <v>-4.32</v>
      </c>
      <c r="J3" s="8">
        <v>11.47</v>
      </c>
      <c r="K3" s="1">
        <v>24.25</v>
      </c>
      <c r="L3" s="1">
        <v>25.45</v>
      </c>
      <c r="M3" s="1">
        <v>1.31</v>
      </c>
      <c r="P3" s="3" t="s">
        <v>35</v>
      </c>
      <c r="Q3" s="1">
        <v>36303</v>
      </c>
      <c r="R3" s="1">
        <v>43397</v>
      </c>
      <c r="S3" s="1">
        <v>38626</v>
      </c>
      <c r="T3" s="1">
        <v>28840</v>
      </c>
      <c r="U3" s="1">
        <v>33312</v>
      </c>
      <c r="V3" s="1">
        <v>28771</v>
      </c>
      <c r="W3" s="1">
        <v>23352</v>
      </c>
      <c r="X3" s="36">
        <v>31198</v>
      </c>
      <c r="Y3" s="35">
        <v>26943</v>
      </c>
      <c r="Z3" s="1">
        <v>41694</v>
      </c>
      <c r="AA3" s="1">
        <v>65106</v>
      </c>
      <c r="AB3" s="1">
        <v>58937</v>
      </c>
      <c r="AE3" s="3" t="s">
        <v>56</v>
      </c>
      <c r="AF3" s="1">
        <v>644</v>
      </c>
      <c r="AG3" s="1">
        <v>644</v>
      </c>
      <c r="AH3" s="1">
        <v>679</v>
      </c>
      <c r="AI3" s="1">
        <v>679</v>
      </c>
      <c r="AJ3" s="1">
        <v>679</v>
      </c>
      <c r="AK3" s="1">
        <v>679</v>
      </c>
      <c r="AL3" s="1">
        <v>720</v>
      </c>
      <c r="AM3" s="8">
        <v>766</v>
      </c>
      <c r="AN3" s="8">
        <v>766</v>
      </c>
      <c r="AO3" s="1">
        <v>766</v>
      </c>
      <c r="AP3" s="1">
        <v>767</v>
      </c>
      <c r="AQ3" s="1">
        <v>736</v>
      </c>
      <c r="AR3" s="3">
        <v>737</v>
      </c>
    </row>
    <row r="4" spans="1:44" x14ac:dyDescent="0.3">
      <c r="A4" s="3" t="s">
        <v>14</v>
      </c>
      <c r="B4" s="1">
        <v>197980</v>
      </c>
      <c r="C4" s="1">
        <v>223920</v>
      </c>
      <c r="D4" s="1">
        <v>234650</v>
      </c>
      <c r="E4" s="1">
        <v>240104</v>
      </c>
      <c r="F4" s="1">
        <v>260093</v>
      </c>
      <c r="G4" s="1">
        <v>277274</v>
      </c>
      <c r="H4" s="1">
        <v>243081</v>
      </c>
      <c r="I4" s="8">
        <v>217507</v>
      </c>
      <c r="J4" s="8">
        <v>253734</v>
      </c>
      <c r="K4" s="1">
        <v>314151</v>
      </c>
      <c r="L4" s="1">
        <v>376192</v>
      </c>
      <c r="M4" s="1">
        <v>384479</v>
      </c>
      <c r="P4" s="3" t="s">
        <v>36</v>
      </c>
      <c r="Q4" s="1">
        <v>445</v>
      </c>
      <c r="R4" s="1">
        <v>-3179</v>
      </c>
      <c r="S4" s="1">
        <v>-2223</v>
      </c>
      <c r="T4" s="1">
        <v>-4152</v>
      </c>
      <c r="U4" s="1">
        <v>-10688</v>
      </c>
      <c r="V4" s="1">
        <v>-9109</v>
      </c>
      <c r="W4" s="1">
        <v>9950</v>
      </c>
      <c r="X4" s="36">
        <v>-5505</v>
      </c>
      <c r="Y4" s="35">
        <v>185</v>
      </c>
      <c r="Z4" s="1">
        <v>-2213</v>
      </c>
      <c r="AA4" s="1">
        <v>-1876</v>
      </c>
      <c r="AB4" s="1">
        <v>3573</v>
      </c>
      <c r="AE4" s="3" t="s">
        <v>57</v>
      </c>
      <c r="AF4" s="1">
        <v>64960</v>
      </c>
      <c r="AG4" s="1">
        <v>55618</v>
      </c>
      <c r="AH4" s="1">
        <v>78273</v>
      </c>
      <c r="AI4" s="1">
        <v>57383</v>
      </c>
      <c r="AJ4" s="1">
        <v>94749</v>
      </c>
      <c r="AK4" s="1">
        <v>59500</v>
      </c>
      <c r="AL4" s="1">
        <v>62359</v>
      </c>
      <c r="AM4" s="8">
        <v>54481</v>
      </c>
      <c r="AN4" s="8">
        <v>43795</v>
      </c>
      <c r="AO4" s="1">
        <v>44556</v>
      </c>
      <c r="AP4" s="1">
        <v>84151</v>
      </c>
      <c r="AQ4" s="1">
        <v>115408</v>
      </c>
      <c r="AR4" s="3">
        <v>110009</v>
      </c>
    </row>
    <row r="5" spans="1:44" x14ac:dyDescent="0.3">
      <c r="A5" s="3" t="s">
        <v>15</v>
      </c>
      <c r="B5" s="1">
        <v>34853</v>
      </c>
      <c r="C5" s="1">
        <v>39239</v>
      </c>
      <c r="D5" s="1">
        <v>38395</v>
      </c>
      <c r="E5" s="1">
        <v>29589</v>
      </c>
      <c r="F5" s="1">
        <v>31458</v>
      </c>
      <c r="G5" s="1">
        <v>24664</v>
      </c>
      <c r="H5" s="1">
        <v>17987</v>
      </c>
      <c r="I5" s="8">
        <v>32287</v>
      </c>
      <c r="J5" s="8">
        <v>24720</v>
      </c>
      <c r="K5" s="1">
        <v>31816</v>
      </c>
      <c r="L5" s="1">
        <v>57824</v>
      </c>
      <c r="M5" s="1">
        <v>55216</v>
      </c>
      <c r="P5" s="3" t="s">
        <v>37</v>
      </c>
      <c r="Q5" s="1">
        <v>-2853</v>
      </c>
      <c r="R5" s="1">
        <v>-3692</v>
      </c>
      <c r="S5" s="1">
        <v>-5743</v>
      </c>
      <c r="T5" s="1">
        <v>-6621</v>
      </c>
      <c r="U5" s="1">
        <v>-3560</v>
      </c>
      <c r="V5" s="1">
        <v>2069</v>
      </c>
      <c r="W5" s="1">
        <v>2326</v>
      </c>
      <c r="X5" s="36">
        <v>3814</v>
      </c>
      <c r="Y5" s="35">
        <v>472</v>
      </c>
      <c r="Z5" s="1">
        <v>-5665</v>
      </c>
      <c r="AA5" s="1">
        <v>-7265</v>
      </c>
      <c r="AB5" s="1">
        <v>2127</v>
      </c>
      <c r="AE5" s="3" t="s">
        <v>58</v>
      </c>
      <c r="AF5" s="1">
        <v>60642</v>
      </c>
      <c r="AG5" s="1">
        <v>73610</v>
      </c>
      <c r="AH5" s="1">
        <v>69360</v>
      </c>
      <c r="AI5" s="1">
        <v>78604</v>
      </c>
      <c r="AJ5" s="1">
        <v>88950</v>
      </c>
      <c r="AK5" s="1">
        <v>106175</v>
      </c>
      <c r="AL5" s="1">
        <v>124788</v>
      </c>
      <c r="AM5" s="8">
        <v>142131</v>
      </c>
      <c r="AN5" s="8">
        <v>146449</v>
      </c>
      <c r="AO5" s="1">
        <v>134113</v>
      </c>
      <c r="AP5" s="1">
        <v>107264</v>
      </c>
      <c r="AQ5" s="1">
        <v>71540</v>
      </c>
      <c r="AR5" s="3">
        <v>67258</v>
      </c>
    </row>
    <row r="6" spans="1:44" x14ac:dyDescent="0.3">
      <c r="A6" s="3" t="s">
        <v>16</v>
      </c>
      <c r="B6" s="1">
        <v>15</v>
      </c>
      <c r="C6" s="1">
        <v>15</v>
      </c>
      <c r="D6" s="1">
        <v>14</v>
      </c>
      <c r="E6" s="1">
        <v>11</v>
      </c>
      <c r="F6" s="1">
        <v>11</v>
      </c>
      <c r="G6" s="1">
        <v>8</v>
      </c>
      <c r="H6" s="1">
        <v>7</v>
      </c>
      <c r="I6" s="8">
        <v>13</v>
      </c>
      <c r="J6" s="8">
        <v>9</v>
      </c>
      <c r="K6" s="1">
        <v>9</v>
      </c>
      <c r="L6" s="1">
        <v>13</v>
      </c>
      <c r="M6" s="1">
        <v>13</v>
      </c>
      <c r="P6" s="3" t="s">
        <v>38</v>
      </c>
      <c r="Q6" s="1">
        <v>4694</v>
      </c>
      <c r="R6" s="1">
        <v>3598</v>
      </c>
      <c r="S6" s="1">
        <v>3947</v>
      </c>
      <c r="T6" s="1">
        <v>9301</v>
      </c>
      <c r="U6" s="1">
        <v>7320</v>
      </c>
      <c r="V6" s="1">
        <v>-4692</v>
      </c>
      <c r="W6" s="1">
        <v>-8085</v>
      </c>
      <c r="X6" s="36">
        <v>5748</v>
      </c>
      <c r="Y6" s="35">
        <v>-7012</v>
      </c>
      <c r="Z6" s="1">
        <v>6945</v>
      </c>
      <c r="AA6" s="1">
        <v>13706</v>
      </c>
      <c r="AB6" s="1">
        <v>1303</v>
      </c>
      <c r="AE6" s="3" t="s">
        <v>59</v>
      </c>
      <c r="AF6" s="1">
        <v>45259</v>
      </c>
      <c r="AG6" s="1">
        <v>56071</v>
      </c>
      <c r="AH6" s="1">
        <v>50510</v>
      </c>
      <c r="AI6" s="1">
        <v>60629</v>
      </c>
      <c r="AJ6" s="1">
        <v>61200</v>
      </c>
      <c r="AK6" s="1">
        <v>70818</v>
      </c>
      <c r="AL6" s="1">
        <v>83316</v>
      </c>
      <c r="AM6" s="8">
        <v>93113</v>
      </c>
      <c r="AN6" s="8">
        <v>97759</v>
      </c>
      <c r="AO6" s="1">
        <v>88696</v>
      </c>
      <c r="AP6" s="1">
        <v>62149</v>
      </c>
      <c r="AQ6" s="1">
        <v>40217</v>
      </c>
      <c r="AR6" s="3">
        <v>44987</v>
      </c>
    </row>
    <row r="7" spans="1:44" x14ac:dyDescent="0.3">
      <c r="A7" s="3" t="s">
        <v>17</v>
      </c>
      <c r="B7" s="1">
        <v>-157</v>
      </c>
      <c r="C7" s="1">
        <v>714</v>
      </c>
      <c r="D7" s="1">
        <v>-2670</v>
      </c>
      <c r="E7" s="1">
        <v>1869</v>
      </c>
      <c r="F7" s="1">
        <v>5933</v>
      </c>
      <c r="G7" s="1">
        <v>-26686</v>
      </c>
      <c r="H7" s="1">
        <v>102</v>
      </c>
      <c r="I7" s="8">
        <v>-11118</v>
      </c>
      <c r="J7" s="8">
        <v>2424</v>
      </c>
      <c r="K7" s="1">
        <v>6664</v>
      </c>
      <c r="L7" s="1">
        <v>4792</v>
      </c>
      <c r="M7" s="1">
        <v>11774</v>
      </c>
      <c r="P7" s="3" t="s">
        <v>39</v>
      </c>
      <c r="Q7" s="1">
        <v>0</v>
      </c>
      <c r="R7" s="1">
        <v>0</v>
      </c>
      <c r="S7" s="1">
        <v>-520</v>
      </c>
      <c r="T7" s="1">
        <v>0</v>
      </c>
      <c r="U7" s="1">
        <v>0</v>
      </c>
      <c r="V7" s="1">
        <v>0</v>
      </c>
      <c r="W7" s="1">
        <v>0</v>
      </c>
      <c r="X7" s="36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60</v>
      </c>
      <c r="AF7" s="1">
        <v>9696</v>
      </c>
      <c r="AG7" s="1">
        <v>13140</v>
      </c>
      <c r="AH7" s="1">
        <v>11451</v>
      </c>
      <c r="AI7" s="1">
        <v>13860</v>
      </c>
      <c r="AJ7" s="1">
        <v>16795</v>
      </c>
      <c r="AK7" s="1">
        <v>20150</v>
      </c>
      <c r="AL7" s="1">
        <v>16363</v>
      </c>
      <c r="AM7" s="8">
        <v>42792</v>
      </c>
      <c r="AN7" s="8">
        <v>41918</v>
      </c>
      <c r="AO7" s="1">
        <v>36965</v>
      </c>
      <c r="AP7" s="1">
        <v>36352</v>
      </c>
      <c r="AQ7" s="1">
        <v>22282</v>
      </c>
      <c r="AR7" s="3">
        <v>13514</v>
      </c>
    </row>
    <row r="8" spans="1:44" x14ac:dyDescent="0.3">
      <c r="A8" s="3" t="s">
        <v>18</v>
      </c>
      <c r="B8" s="1">
        <v>4749</v>
      </c>
      <c r="C8" s="1">
        <v>4861</v>
      </c>
      <c r="D8" s="1">
        <v>4889</v>
      </c>
      <c r="E8" s="1">
        <v>4238</v>
      </c>
      <c r="F8" s="1">
        <v>4682</v>
      </c>
      <c r="G8" s="1">
        <v>5759</v>
      </c>
      <c r="H8" s="1">
        <v>7243</v>
      </c>
      <c r="I8" s="8">
        <v>8097</v>
      </c>
      <c r="J8" s="8">
        <v>9312</v>
      </c>
      <c r="K8" s="1">
        <v>10225</v>
      </c>
      <c r="L8" s="1">
        <v>7594</v>
      </c>
      <c r="M8" s="1">
        <v>5083</v>
      </c>
      <c r="P8" s="3" t="s">
        <v>40</v>
      </c>
      <c r="Q8" s="1">
        <v>1870</v>
      </c>
      <c r="R8" s="1">
        <v>-398</v>
      </c>
      <c r="S8" s="1">
        <v>5852</v>
      </c>
      <c r="T8" s="1">
        <v>4727</v>
      </c>
      <c r="U8" s="1">
        <v>494</v>
      </c>
      <c r="V8" s="1">
        <v>4512</v>
      </c>
      <c r="W8" s="1">
        <v>875</v>
      </c>
      <c r="X8" s="36">
        <v>-4150</v>
      </c>
      <c r="Y8" s="35">
        <v>-4396</v>
      </c>
      <c r="Z8" s="1">
        <v>-2194</v>
      </c>
      <c r="AA8" s="1">
        <v>2760</v>
      </c>
      <c r="AB8" s="1">
        <v>1153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173</v>
      </c>
      <c r="AL8" s="1">
        <v>5977</v>
      </c>
      <c r="AM8" s="8">
        <v>6226</v>
      </c>
      <c r="AN8" s="8">
        <v>6772</v>
      </c>
      <c r="AO8" s="1">
        <v>8453</v>
      </c>
      <c r="AP8" s="1">
        <v>8763</v>
      </c>
      <c r="AQ8" s="1">
        <v>9041</v>
      </c>
      <c r="AR8" s="3">
        <v>8757</v>
      </c>
    </row>
    <row r="9" spans="1:44" x14ac:dyDescent="0.3">
      <c r="A9" s="3" t="s">
        <v>19</v>
      </c>
      <c r="B9" s="1">
        <v>11078</v>
      </c>
      <c r="C9" s="1">
        <v>13389</v>
      </c>
      <c r="D9" s="1">
        <v>16711</v>
      </c>
      <c r="E9" s="1">
        <v>17905</v>
      </c>
      <c r="F9" s="1">
        <v>21554</v>
      </c>
      <c r="G9" s="1">
        <v>23591</v>
      </c>
      <c r="H9" s="1">
        <v>21425</v>
      </c>
      <c r="I9" s="8">
        <v>23547</v>
      </c>
      <c r="J9" s="8">
        <v>24836</v>
      </c>
      <c r="K9" s="1">
        <v>24860</v>
      </c>
      <c r="L9" s="1">
        <v>27239</v>
      </c>
      <c r="M9" s="1">
        <v>23256</v>
      </c>
      <c r="P9" s="3" t="s">
        <v>53</v>
      </c>
      <c r="Q9" s="1">
        <v>4157</v>
      </c>
      <c r="R9" s="1">
        <v>-3672</v>
      </c>
      <c r="S9" s="1">
        <v>1313</v>
      </c>
      <c r="T9" s="1">
        <v>3254</v>
      </c>
      <c r="U9" s="1">
        <v>-6434</v>
      </c>
      <c r="V9" s="1">
        <v>-7221</v>
      </c>
      <c r="W9" s="1">
        <v>5065</v>
      </c>
      <c r="X9" s="36">
        <v>-93</v>
      </c>
      <c r="Y9" s="35">
        <v>-10750</v>
      </c>
      <c r="Z9" s="1">
        <v>-3127</v>
      </c>
      <c r="AA9" s="1">
        <v>7325</v>
      </c>
      <c r="AB9" s="1">
        <v>8156</v>
      </c>
      <c r="AE9" s="3" t="s">
        <v>62</v>
      </c>
      <c r="AF9" s="1">
        <v>5688</v>
      </c>
      <c r="AG9" s="1">
        <v>4399</v>
      </c>
      <c r="AH9" s="1">
        <v>7399</v>
      </c>
      <c r="AI9" s="1">
        <v>4115</v>
      </c>
      <c r="AJ9" s="1">
        <v>10956</v>
      </c>
      <c r="AK9" s="1">
        <v>15034</v>
      </c>
      <c r="AL9" s="1">
        <v>19132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  <c r="AR9" s="3"/>
    </row>
    <row r="10" spans="1:44" x14ac:dyDescent="0.3">
      <c r="A10" s="3" t="s">
        <v>48</v>
      </c>
      <c r="B10" s="1">
        <v>18869</v>
      </c>
      <c r="C10" s="1">
        <v>21703</v>
      </c>
      <c r="D10" s="1">
        <v>14126</v>
      </c>
      <c r="E10" s="1">
        <v>9315</v>
      </c>
      <c r="F10" s="1">
        <v>11155</v>
      </c>
      <c r="G10" s="1">
        <v>-31371</v>
      </c>
      <c r="H10" s="1">
        <v>-10580</v>
      </c>
      <c r="I10" s="8">
        <v>-10474</v>
      </c>
      <c r="J10" s="8">
        <v>-7003</v>
      </c>
      <c r="K10" s="1">
        <v>3394</v>
      </c>
      <c r="L10" s="1">
        <v>27783</v>
      </c>
      <c r="M10" s="1">
        <v>38651</v>
      </c>
      <c r="P10" s="3" t="s">
        <v>41</v>
      </c>
      <c r="Q10" s="1">
        <v>-4308</v>
      </c>
      <c r="R10" s="1">
        <v>-4194</v>
      </c>
      <c r="S10" s="1">
        <v>-2040</v>
      </c>
      <c r="T10" s="1">
        <v>-1895</v>
      </c>
      <c r="U10" s="1">
        <v>-3021</v>
      </c>
      <c r="V10" s="1">
        <v>-2659</v>
      </c>
      <c r="W10" s="1">
        <v>-1785</v>
      </c>
      <c r="X10" s="36">
        <v>-2105</v>
      </c>
      <c r="Y10" s="35">
        <v>-1910</v>
      </c>
      <c r="Z10" s="1">
        <v>-3179</v>
      </c>
      <c r="AA10" s="1">
        <v>-4516</v>
      </c>
      <c r="AB10" s="1">
        <v>-3991</v>
      </c>
      <c r="AE10" s="3" t="s">
        <v>63</v>
      </c>
      <c r="AF10" s="1">
        <v>92180</v>
      </c>
      <c r="AG10" s="1">
        <v>107442</v>
      </c>
      <c r="AH10" s="1">
        <v>114872</v>
      </c>
      <c r="AI10" s="1">
        <v>135914</v>
      </c>
      <c r="AJ10" s="1">
        <v>142813</v>
      </c>
      <c r="AK10" s="1">
        <v>139349</v>
      </c>
      <c r="AL10" s="1">
        <v>132313</v>
      </c>
      <c r="AM10" s="8">
        <v>144193</v>
      </c>
      <c r="AN10" s="8">
        <v>138051</v>
      </c>
      <c r="AO10" s="1">
        <v>155239</v>
      </c>
      <c r="AP10" s="1">
        <v>177339</v>
      </c>
      <c r="AQ10" s="1">
        <v>189289</v>
      </c>
      <c r="AR10" s="3">
        <v>166260</v>
      </c>
    </row>
    <row r="11" spans="1:44" x14ac:dyDescent="0.3">
      <c r="A11" s="3" t="s">
        <v>21</v>
      </c>
      <c r="B11" s="1">
        <v>25</v>
      </c>
      <c r="C11" s="1">
        <v>35</v>
      </c>
      <c r="D11" s="1">
        <v>21</v>
      </c>
      <c r="E11" s="1">
        <v>35</v>
      </c>
      <c r="F11" s="1">
        <v>39</v>
      </c>
      <c r="G11" s="1">
        <v>-8</v>
      </c>
      <c r="H11" s="1">
        <v>4</v>
      </c>
      <c r="I11" s="8">
        <v>24</v>
      </c>
      <c r="J11" s="8">
        <v>60</v>
      </c>
      <c r="K11" s="1">
        <v>21</v>
      </c>
      <c r="L11" s="1">
        <v>-14</v>
      </c>
      <c r="M11" s="1">
        <v>27</v>
      </c>
      <c r="AE11" s="3" t="s">
        <v>64</v>
      </c>
      <c r="AF11" s="1">
        <v>421</v>
      </c>
      <c r="AG11" s="1">
        <v>433</v>
      </c>
      <c r="AH11" s="1">
        <v>433</v>
      </c>
      <c r="AI11" s="1">
        <v>453</v>
      </c>
      <c r="AJ11" s="1">
        <v>525</v>
      </c>
      <c r="AK11" s="1">
        <v>523</v>
      </c>
      <c r="AL11" s="1">
        <v>814</v>
      </c>
      <c r="AM11" s="8">
        <v>1573</v>
      </c>
      <c r="AN11" s="8">
        <v>4271</v>
      </c>
      <c r="AO11" s="1">
        <v>7278</v>
      </c>
      <c r="AP11" s="1">
        <v>8176</v>
      </c>
      <c r="AQ11" s="1">
        <v>6610</v>
      </c>
      <c r="AR11" s="3">
        <v>6601</v>
      </c>
    </row>
    <row r="12" spans="1:44" x14ac:dyDescent="0.3">
      <c r="A12" s="3" t="s">
        <v>22</v>
      </c>
      <c r="B12" s="1">
        <v>14050</v>
      </c>
      <c r="C12" s="1">
        <v>14073</v>
      </c>
      <c r="D12" s="1">
        <v>11678</v>
      </c>
      <c r="E12" s="1">
        <v>7557</v>
      </c>
      <c r="F12" s="1">
        <v>9091</v>
      </c>
      <c r="G12" s="1">
        <v>-28724</v>
      </c>
      <c r="H12" s="1">
        <v>-11975</v>
      </c>
      <c r="I12" s="8">
        <v>-13395</v>
      </c>
      <c r="J12" s="8">
        <v>-11309</v>
      </c>
      <c r="K12" s="1">
        <v>2690</v>
      </c>
      <c r="L12" s="1">
        <v>31807</v>
      </c>
      <c r="M12" s="1">
        <v>28149</v>
      </c>
      <c r="AE12" s="3" t="s">
        <v>65</v>
      </c>
      <c r="AF12" s="1">
        <v>57316</v>
      </c>
      <c r="AG12" s="1">
        <v>57407</v>
      </c>
      <c r="AH12" s="1">
        <v>61562</v>
      </c>
      <c r="AI12" s="1">
        <v>62533</v>
      </c>
      <c r="AJ12" s="1">
        <v>76940</v>
      </c>
      <c r="AK12" s="1">
        <v>71691</v>
      </c>
      <c r="AL12" s="1">
        <v>66398</v>
      </c>
      <c r="AM12" s="8">
        <v>76040</v>
      </c>
      <c r="AN12" s="8">
        <v>69750</v>
      </c>
      <c r="AO12" s="1">
        <v>79252</v>
      </c>
      <c r="AP12" s="1">
        <v>93978</v>
      </c>
      <c r="AQ12" s="1">
        <v>97368</v>
      </c>
      <c r="AR12" s="3">
        <v>71244</v>
      </c>
    </row>
    <row r="13" spans="1:44" x14ac:dyDescent="0.3">
      <c r="A13" s="3" t="s">
        <v>46</v>
      </c>
      <c r="B13" s="1">
        <v>48.46</v>
      </c>
      <c r="C13" s="1">
        <v>48.44</v>
      </c>
      <c r="D13" s="1">
        <v>40.11</v>
      </c>
      <c r="E13" s="1">
        <v>25.82</v>
      </c>
      <c r="F13" s="1">
        <v>31.13</v>
      </c>
      <c r="G13" s="1">
        <v>-99.84</v>
      </c>
      <c r="H13" s="1">
        <v>-39.08</v>
      </c>
      <c r="I13" s="8">
        <v>-40.51</v>
      </c>
      <c r="J13" s="8">
        <v>-34.450000000000003</v>
      </c>
      <c r="K13" s="1">
        <v>7.27</v>
      </c>
      <c r="L13" s="1">
        <v>94.47</v>
      </c>
      <c r="M13" s="1">
        <v>75.599999999999994</v>
      </c>
      <c r="AE13" s="3" t="s">
        <v>66</v>
      </c>
      <c r="AF13" s="1">
        <v>3119</v>
      </c>
      <c r="AG13" s="1">
        <v>2289</v>
      </c>
      <c r="AH13" s="1">
        <v>2165</v>
      </c>
      <c r="AI13" s="1">
        <v>1711</v>
      </c>
      <c r="AJ13" s="1">
        <v>0</v>
      </c>
      <c r="AK13" s="1">
        <v>0</v>
      </c>
      <c r="AL13" s="1">
        <v>0</v>
      </c>
      <c r="AM13" s="8">
        <v>0</v>
      </c>
      <c r="AN13" s="8">
        <v>0</v>
      </c>
      <c r="AO13" s="1">
        <v>0</v>
      </c>
      <c r="AP13" s="1">
        <v>0</v>
      </c>
      <c r="AQ13" s="1">
        <v>0</v>
      </c>
      <c r="AR13" s="3"/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2" t="s">
        <v>67</v>
      </c>
      <c r="AF14" s="2">
        <v>31325</v>
      </c>
      <c r="AG14" s="2">
        <v>47313</v>
      </c>
      <c r="AH14" s="2">
        <v>50712</v>
      </c>
      <c r="AI14" s="2">
        <v>71218</v>
      </c>
      <c r="AJ14" s="2">
        <v>65349</v>
      </c>
      <c r="AK14" s="2">
        <v>67135</v>
      </c>
      <c r="AL14" s="2">
        <v>65101</v>
      </c>
      <c r="AM14" s="7">
        <v>66579</v>
      </c>
      <c r="AN14" s="7">
        <v>64030</v>
      </c>
      <c r="AO14" s="2">
        <v>68710</v>
      </c>
      <c r="AP14" s="2">
        <v>75185</v>
      </c>
      <c r="AQ14" s="2">
        <v>85311</v>
      </c>
      <c r="AR14" s="2">
        <v>88415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3" t="s">
        <v>68</v>
      </c>
      <c r="AF15" s="1">
        <v>218426</v>
      </c>
      <c r="AG15" s="1">
        <v>237315</v>
      </c>
      <c r="AH15" s="1">
        <v>263184</v>
      </c>
      <c r="AI15" s="1">
        <v>272580</v>
      </c>
      <c r="AJ15" s="1">
        <v>327192</v>
      </c>
      <c r="AK15" s="1">
        <v>305703</v>
      </c>
      <c r="AL15" s="1">
        <v>320179</v>
      </c>
      <c r="AM15" s="8">
        <v>341570</v>
      </c>
      <c r="AN15" s="8">
        <v>329061</v>
      </c>
      <c r="AO15" s="1">
        <v>334674</v>
      </c>
      <c r="AP15" s="1">
        <v>369521</v>
      </c>
      <c r="AQ15" s="1">
        <v>376973</v>
      </c>
      <c r="AR15" s="3">
        <v>344264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69</v>
      </c>
      <c r="AF16" s="1">
        <v>69092</v>
      </c>
      <c r="AG16" s="1">
        <v>88479</v>
      </c>
      <c r="AH16" s="1">
        <v>107232</v>
      </c>
      <c r="AI16" s="1">
        <v>95944</v>
      </c>
      <c r="AJ16" s="1">
        <v>121414</v>
      </c>
      <c r="AK16" s="1">
        <v>111234</v>
      </c>
      <c r="AL16" s="1">
        <v>127107</v>
      </c>
      <c r="AM16" s="8">
        <v>138708</v>
      </c>
      <c r="AN16" s="8">
        <v>138855</v>
      </c>
      <c r="AO16" s="1">
        <v>132080</v>
      </c>
      <c r="AP16" s="1">
        <v>121285</v>
      </c>
      <c r="AQ16" s="1">
        <v>115697</v>
      </c>
      <c r="AR16" s="3">
        <v>164986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70</v>
      </c>
      <c r="AF17" s="1">
        <v>2296</v>
      </c>
      <c r="AG17" s="1">
        <v>2513</v>
      </c>
      <c r="AH17" s="1">
        <v>7185</v>
      </c>
      <c r="AI17" s="1">
        <v>6762</v>
      </c>
      <c r="AJ17" s="1">
        <v>7339</v>
      </c>
      <c r="AK17" s="1">
        <v>7286</v>
      </c>
      <c r="AL17" s="1">
        <v>7675</v>
      </c>
      <c r="AM17" s="8">
        <v>7819</v>
      </c>
      <c r="AN17" s="8">
        <v>7760</v>
      </c>
      <c r="AO17" s="1">
        <v>8045</v>
      </c>
      <c r="AP17" s="1">
        <v>7996</v>
      </c>
      <c r="AQ17" s="1">
        <v>7900</v>
      </c>
      <c r="AR17" s="3"/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71</v>
      </c>
      <c r="AF18" s="1">
        <v>11010</v>
      </c>
      <c r="AG18" s="1">
        <v>13396</v>
      </c>
      <c r="AH18" s="1">
        <v>12343</v>
      </c>
      <c r="AI18" s="1">
        <v>12164</v>
      </c>
      <c r="AJ18" s="1">
        <v>16552</v>
      </c>
      <c r="AK18" s="1">
        <v>22938</v>
      </c>
      <c r="AL18" s="1">
        <v>32665</v>
      </c>
      <c r="AM18" s="8">
        <v>35537</v>
      </c>
      <c r="AN18" s="8">
        <v>36466</v>
      </c>
      <c r="AO18" s="1">
        <v>38674</v>
      </c>
      <c r="AP18" s="1">
        <v>40583</v>
      </c>
      <c r="AQ18" s="1">
        <v>44662</v>
      </c>
      <c r="AR18" s="3"/>
    </row>
    <row r="19" spans="1:44" x14ac:dyDescent="0.3">
      <c r="A19" s="3" t="s">
        <v>54</v>
      </c>
      <c r="B19" s="1">
        <f>Q2</f>
        <v>36151</v>
      </c>
      <c r="C19" s="1">
        <f t="shared" ref="C19:M19" si="0">R2</f>
        <v>35531</v>
      </c>
      <c r="D19" s="1">
        <f t="shared" si="0"/>
        <v>37900</v>
      </c>
      <c r="E19" s="1">
        <f t="shared" si="0"/>
        <v>30199</v>
      </c>
      <c r="F19" s="1">
        <f t="shared" si="0"/>
        <v>23857</v>
      </c>
      <c r="G19" s="1">
        <f t="shared" si="0"/>
        <v>18891</v>
      </c>
      <c r="H19" s="1">
        <f t="shared" si="0"/>
        <v>26633</v>
      </c>
      <c r="I19" s="8">
        <f t="shared" si="0"/>
        <v>29001</v>
      </c>
      <c r="J19" s="8">
        <f t="shared" si="0"/>
        <v>14283</v>
      </c>
      <c r="K19" s="1">
        <f t="shared" si="0"/>
        <v>35388</v>
      </c>
      <c r="L19" s="1">
        <f t="shared" si="0"/>
        <v>67915</v>
      </c>
      <c r="M19" s="1">
        <f t="shared" si="0"/>
        <v>63102</v>
      </c>
      <c r="AE19" s="3" t="s">
        <v>72</v>
      </c>
      <c r="AF19" s="1">
        <v>79505</v>
      </c>
      <c r="AG19" s="1">
        <v>88943</v>
      </c>
      <c r="AH19" s="1">
        <v>80063</v>
      </c>
      <c r="AI19" s="1">
        <v>79976</v>
      </c>
      <c r="AJ19" s="1">
        <v>100226</v>
      </c>
      <c r="AK19" s="1">
        <v>109415</v>
      </c>
      <c r="AL19" s="1">
        <v>124158</v>
      </c>
      <c r="AM19" s="8">
        <v>138868</v>
      </c>
      <c r="AN19" s="8">
        <v>148585</v>
      </c>
      <c r="AO19" s="1">
        <v>153672</v>
      </c>
      <c r="AP19" s="1">
        <v>151877</v>
      </c>
      <c r="AQ19" s="1">
        <v>155939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73</v>
      </c>
      <c r="AF20" s="1">
        <v>0</v>
      </c>
      <c r="AG20" s="1">
        <v>482</v>
      </c>
      <c r="AH20" s="1">
        <v>498</v>
      </c>
      <c r="AI20" s="1">
        <v>0</v>
      </c>
      <c r="AJ20" s="1">
        <v>0</v>
      </c>
      <c r="AK20" s="1">
        <v>0</v>
      </c>
      <c r="AL20" s="1">
        <v>0</v>
      </c>
      <c r="AM20" s="8">
        <v>0</v>
      </c>
      <c r="AN20" s="8">
        <v>0</v>
      </c>
      <c r="AO20" s="1">
        <v>0</v>
      </c>
      <c r="AP20" s="1">
        <v>0</v>
      </c>
      <c r="AQ20" s="1">
        <v>0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74</v>
      </c>
      <c r="AF21" s="1">
        <v>1126</v>
      </c>
      <c r="AG21" s="1">
        <v>1364</v>
      </c>
      <c r="AH21" s="1">
        <v>1634</v>
      </c>
      <c r="AI21" s="1">
        <v>1767</v>
      </c>
      <c r="AJ21" s="1">
        <v>1943</v>
      </c>
      <c r="AK21" s="1">
        <v>2335</v>
      </c>
      <c r="AL21" s="1">
        <v>3054</v>
      </c>
      <c r="AM21" s="8">
        <v>3172</v>
      </c>
      <c r="AN21" s="8">
        <v>3383</v>
      </c>
      <c r="AO21" s="1">
        <v>3499</v>
      </c>
      <c r="AP21" s="1">
        <v>3667</v>
      </c>
      <c r="AQ21" s="1">
        <v>3879</v>
      </c>
      <c r="AR21" s="3"/>
    </row>
    <row r="22" spans="1:44" x14ac:dyDescent="0.3">
      <c r="A22" s="2" t="s">
        <v>26</v>
      </c>
      <c r="B22" s="1">
        <f>B12-B19</f>
        <v>-22101</v>
      </c>
      <c r="C22" s="1">
        <f t="shared" ref="C22:M22" si="1">C12-C19</f>
        <v>-21458</v>
      </c>
      <c r="D22" s="1">
        <f t="shared" si="1"/>
        <v>-26222</v>
      </c>
      <c r="E22" s="1">
        <f t="shared" si="1"/>
        <v>-22642</v>
      </c>
      <c r="F22" s="1">
        <f t="shared" si="1"/>
        <v>-14766</v>
      </c>
      <c r="G22" s="1">
        <f t="shared" si="1"/>
        <v>-47615</v>
      </c>
      <c r="H22" s="1">
        <f t="shared" si="1"/>
        <v>-38608</v>
      </c>
      <c r="I22" s="8">
        <f t="shared" si="1"/>
        <v>-42396</v>
      </c>
      <c r="J22" s="8">
        <f t="shared" si="1"/>
        <v>-25592</v>
      </c>
      <c r="K22" s="1">
        <f t="shared" si="1"/>
        <v>-32698</v>
      </c>
      <c r="L22" s="1">
        <f t="shared" si="1"/>
        <v>-36108</v>
      </c>
      <c r="M22" s="1">
        <f t="shared" si="1"/>
        <v>-34953</v>
      </c>
      <c r="AE22" s="3" t="s">
        <v>75</v>
      </c>
      <c r="AF22" s="1">
        <v>1011</v>
      </c>
      <c r="AG22" s="1">
        <v>1149</v>
      </c>
      <c r="AH22" s="1">
        <v>1241</v>
      </c>
      <c r="AI22" s="1">
        <v>1401</v>
      </c>
      <c r="AJ22" s="1">
        <v>1430</v>
      </c>
      <c r="AK22" s="1">
        <v>1626</v>
      </c>
      <c r="AL22" s="1">
        <v>1890</v>
      </c>
      <c r="AM22" s="8">
        <v>1956</v>
      </c>
      <c r="AN22" s="8">
        <v>1984</v>
      </c>
      <c r="AO22" s="1">
        <v>2084</v>
      </c>
      <c r="AP22" s="1">
        <v>2029</v>
      </c>
      <c r="AQ22" s="1">
        <v>1970</v>
      </c>
      <c r="AR22" s="3"/>
    </row>
    <row r="23" spans="1:44" x14ac:dyDescent="0.3">
      <c r="AE23" s="3" t="s">
        <v>76</v>
      </c>
      <c r="AF23" s="1">
        <v>270</v>
      </c>
      <c r="AG23" s="1">
        <v>280</v>
      </c>
      <c r="AH23" s="1">
        <v>280</v>
      </c>
      <c r="AI23" s="1">
        <v>291</v>
      </c>
      <c r="AJ23" s="1">
        <v>353</v>
      </c>
      <c r="AK23" s="1">
        <v>387</v>
      </c>
      <c r="AL23" s="1">
        <v>601</v>
      </c>
      <c r="AM23" s="8">
        <v>845</v>
      </c>
      <c r="AN23" s="8">
        <v>725</v>
      </c>
      <c r="AO23" s="1">
        <v>788</v>
      </c>
      <c r="AP23" s="1">
        <v>956</v>
      </c>
      <c r="AQ23" s="1">
        <v>1151</v>
      </c>
      <c r="AR23" s="3"/>
    </row>
    <row r="24" spans="1:44" x14ac:dyDescent="0.3">
      <c r="AE24" s="3" t="s">
        <v>77</v>
      </c>
      <c r="AF24" s="1">
        <v>8994</v>
      </c>
      <c r="AG24" s="1">
        <v>9580</v>
      </c>
      <c r="AH24" s="1">
        <v>58951</v>
      </c>
      <c r="AI24" s="1">
        <v>54932</v>
      </c>
      <c r="AJ24" s="1">
        <v>77870</v>
      </c>
      <c r="AK24" s="1">
        <v>80480</v>
      </c>
      <c r="AL24" s="1">
        <v>91157</v>
      </c>
      <c r="AM24" s="8">
        <v>114809</v>
      </c>
      <c r="AN24" s="8">
        <v>114323</v>
      </c>
      <c r="AO24" s="1">
        <v>112538</v>
      </c>
      <c r="AP24" s="1">
        <v>116714</v>
      </c>
      <c r="AQ24" s="1">
        <v>93455</v>
      </c>
      <c r="AR24" s="3">
        <v>93220</v>
      </c>
    </row>
    <row r="25" spans="1:44" x14ac:dyDescent="0.3">
      <c r="AE25" s="3" t="s">
        <v>78</v>
      </c>
      <c r="AF25" s="1">
        <v>33694</v>
      </c>
      <c r="AG25" s="1">
        <v>45196</v>
      </c>
      <c r="AH25" s="1">
        <v>6746</v>
      </c>
      <c r="AI25" s="1">
        <v>6219</v>
      </c>
      <c r="AJ25" s="1">
        <v>7497</v>
      </c>
      <c r="AK25" s="1">
        <v>8049</v>
      </c>
      <c r="AL25" s="1">
        <v>9380</v>
      </c>
      <c r="AM25" s="8">
        <v>10686</v>
      </c>
      <c r="AN25" s="8">
        <v>10870</v>
      </c>
      <c r="AO25" s="1">
        <v>11841</v>
      </c>
      <c r="AP25" s="1">
        <v>10657</v>
      </c>
      <c r="AQ25" s="1">
        <v>11044</v>
      </c>
      <c r="AR25" s="3"/>
    </row>
    <row r="26" spans="1:44" x14ac:dyDescent="0.3">
      <c r="AE26" s="3" t="s">
        <v>79</v>
      </c>
      <c r="AF26" s="1">
        <v>137907</v>
      </c>
      <c r="AG26" s="1">
        <v>162904</v>
      </c>
      <c r="AH26" s="1">
        <v>168941</v>
      </c>
      <c r="AI26" s="1">
        <v>163512</v>
      </c>
      <c r="AJ26" s="1">
        <v>213209</v>
      </c>
      <c r="AK26" s="1">
        <v>232517</v>
      </c>
      <c r="AL26" s="1">
        <v>270579</v>
      </c>
      <c r="AM26" s="8">
        <v>313692</v>
      </c>
      <c r="AN26" s="8">
        <v>324096</v>
      </c>
      <c r="AO26" s="1">
        <v>331141</v>
      </c>
      <c r="AP26" s="1">
        <v>334479</v>
      </c>
      <c r="AQ26" s="1">
        <v>320000</v>
      </c>
      <c r="AR26" s="3"/>
    </row>
    <row r="27" spans="1:44" x14ac:dyDescent="0.3">
      <c r="AE27" s="2" t="s">
        <v>80</v>
      </c>
      <c r="AF27" s="2">
        <v>68815</v>
      </c>
      <c r="AG27" s="2">
        <v>74424</v>
      </c>
      <c r="AH27" s="2">
        <v>61709</v>
      </c>
      <c r="AI27" s="2">
        <v>67568</v>
      </c>
      <c r="AJ27" s="2">
        <v>91795</v>
      </c>
      <c r="AK27" s="2">
        <v>121283</v>
      </c>
      <c r="AL27" s="2">
        <v>143471</v>
      </c>
      <c r="AM27" s="7">
        <v>174985</v>
      </c>
      <c r="AN27" s="7">
        <v>185241</v>
      </c>
      <c r="AO27" s="2">
        <v>199062</v>
      </c>
      <c r="AP27" s="2">
        <v>213194</v>
      </c>
      <c r="AQ27" s="2">
        <v>204303</v>
      </c>
      <c r="AR27" s="2"/>
    </row>
    <row r="28" spans="1:44" x14ac:dyDescent="0.3">
      <c r="AE28" s="3" t="s">
        <v>81</v>
      </c>
      <c r="AF28" s="1">
        <v>33263</v>
      </c>
      <c r="AG28" s="1">
        <v>28640</v>
      </c>
      <c r="AH28" s="1">
        <v>25919</v>
      </c>
      <c r="AI28" s="1">
        <v>33699</v>
      </c>
      <c r="AJ28" s="1">
        <v>40034</v>
      </c>
      <c r="AK28" s="1">
        <v>31884</v>
      </c>
      <c r="AL28" s="1">
        <v>35622</v>
      </c>
      <c r="AM28" s="8">
        <v>20964</v>
      </c>
      <c r="AN28" s="8">
        <v>10251</v>
      </c>
      <c r="AO28" s="1">
        <v>14274</v>
      </c>
      <c r="AP28" s="1">
        <v>35698</v>
      </c>
      <c r="AQ28" s="1">
        <v>65806</v>
      </c>
      <c r="AR28" s="3">
        <v>21746</v>
      </c>
    </row>
    <row r="29" spans="1:44" x14ac:dyDescent="0.3">
      <c r="AE29" s="3" t="s">
        <v>82</v>
      </c>
      <c r="AF29" s="1">
        <v>10687</v>
      </c>
      <c r="AG29" s="1">
        <v>15337</v>
      </c>
      <c r="AH29" s="1">
        <v>23767</v>
      </c>
      <c r="AI29" s="1">
        <v>20338</v>
      </c>
      <c r="AJ29" s="1">
        <v>20813</v>
      </c>
      <c r="AK29" s="1">
        <v>15771</v>
      </c>
      <c r="AL29" s="1">
        <v>16308</v>
      </c>
      <c r="AM29" s="8">
        <v>24620</v>
      </c>
      <c r="AN29" s="8">
        <v>29380</v>
      </c>
      <c r="AO29" s="1">
        <v>26379</v>
      </c>
      <c r="AP29" s="1">
        <v>22971</v>
      </c>
      <c r="AQ29" s="1">
        <v>35656</v>
      </c>
      <c r="AR29" s="3">
        <v>26249</v>
      </c>
    </row>
    <row r="30" spans="1:44" x14ac:dyDescent="0.3">
      <c r="AE30" s="3" t="s">
        <v>83</v>
      </c>
      <c r="AF30" s="1">
        <v>105385</v>
      </c>
      <c r="AG30" s="1">
        <v>104858</v>
      </c>
      <c r="AH30" s="1">
        <v>106266</v>
      </c>
      <c r="AI30" s="1">
        <v>122600</v>
      </c>
      <c r="AJ30" s="1">
        <v>144932</v>
      </c>
      <c r="AK30" s="1">
        <v>146814</v>
      </c>
      <c r="AL30" s="1">
        <v>141141</v>
      </c>
      <c r="AM30" s="8">
        <v>157278</v>
      </c>
      <c r="AN30" s="8">
        <v>150575</v>
      </c>
      <c r="AO30" s="1">
        <v>161941</v>
      </c>
      <c r="AP30" s="1">
        <v>189567</v>
      </c>
      <c r="AQ30" s="1">
        <v>159814</v>
      </c>
      <c r="AR30" s="3">
        <v>131283</v>
      </c>
    </row>
    <row r="31" spans="1:44" x14ac:dyDescent="0.3">
      <c r="AE31" s="3" t="s">
        <v>84</v>
      </c>
      <c r="AF31" s="1">
        <v>27271</v>
      </c>
      <c r="AG31" s="1">
        <v>29272</v>
      </c>
      <c r="AH31" s="1">
        <v>32656</v>
      </c>
      <c r="AI31" s="1">
        <v>35085</v>
      </c>
      <c r="AJ31" s="1">
        <v>42138</v>
      </c>
      <c r="AK31" s="1">
        <v>39014</v>
      </c>
      <c r="AL31" s="1">
        <v>37457</v>
      </c>
      <c r="AM31" s="8">
        <v>36089</v>
      </c>
      <c r="AN31" s="8">
        <v>35240</v>
      </c>
      <c r="AO31" s="1">
        <v>40755</v>
      </c>
      <c r="AP31" s="1">
        <v>47788</v>
      </c>
      <c r="AQ31" s="1">
        <v>47269</v>
      </c>
      <c r="AR31" s="3">
        <v>40230</v>
      </c>
    </row>
    <row r="32" spans="1:44" x14ac:dyDescent="0.3">
      <c r="AE32" s="3" t="s">
        <v>85</v>
      </c>
      <c r="AF32" s="1">
        <v>10574</v>
      </c>
      <c r="AG32" s="1">
        <v>12579</v>
      </c>
      <c r="AH32" s="1">
        <v>13571</v>
      </c>
      <c r="AI32" s="1">
        <v>14076</v>
      </c>
      <c r="AJ32" s="1">
        <v>19893</v>
      </c>
      <c r="AK32" s="1">
        <v>18996</v>
      </c>
      <c r="AL32" s="1">
        <v>11173</v>
      </c>
      <c r="AM32" s="8">
        <v>12679</v>
      </c>
      <c r="AN32" s="8">
        <v>12442</v>
      </c>
      <c r="AO32" s="1">
        <v>15738</v>
      </c>
      <c r="AP32" s="1">
        <v>16952</v>
      </c>
      <c r="AQ32" s="1">
        <v>13248</v>
      </c>
      <c r="AR32" s="3">
        <v>7410</v>
      </c>
    </row>
    <row r="33" spans="31:44" x14ac:dyDescent="0.3">
      <c r="AE33" s="3" t="s">
        <v>86</v>
      </c>
      <c r="AF33" s="1">
        <v>29712</v>
      </c>
      <c r="AG33" s="1">
        <v>32116</v>
      </c>
      <c r="AH33" s="1">
        <v>30460</v>
      </c>
      <c r="AI33" s="1">
        <v>36078</v>
      </c>
      <c r="AJ33" s="1">
        <v>34614</v>
      </c>
      <c r="AK33" s="1">
        <v>32649</v>
      </c>
      <c r="AL33" s="1">
        <v>33727</v>
      </c>
      <c r="AM33" s="8">
        <v>46792</v>
      </c>
      <c r="AN33" s="8">
        <v>40669</v>
      </c>
      <c r="AO33" s="1">
        <v>37016</v>
      </c>
      <c r="AP33" s="1">
        <v>45807</v>
      </c>
      <c r="AQ33" s="1">
        <v>40834</v>
      </c>
      <c r="AR33" s="3">
        <v>27592</v>
      </c>
    </row>
    <row r="34" spans="31:44" x14ac:dyDescent="0.3">
      <c r="AE34" s="3" t="s">
        <v>87</v>
      </c>
      <c r="AF34" s="1">
        <v>9953</v>
      </c>
      <c r="AG34" s="1">
        <v>6628</v>
      </c>
      <c r="AH34" s="1">
        <v>2072</v>
      </c>
      <c r="AI34" s="1">
        <v>1816</v>
      </c>
      <c r="AJ34" s="1">
        <v>4066</v>
      </c>
      <c r="AK34" s="1">
        <v>3620</v>
      </c>
      <c r="AL34" s="1">
        <v>3353</v>
      </c>
      <c r="AM34" s="8">
        <v>4520</v>
      </c>
      <c r="AN34" s="8">
        <v>4583</v>
      </c>
      <c r="AO34" s="1">
        <v>-4029</v>
      </c>
      <c r="AP34" s="1">
        <v>-1743</v>
      </c>
      <c r="AQ34" s="1">
        <v>7552</v>
      </c>
      <c r="AR34" s="3">
        <v>10476</v>
      </c>
    </row>
    <row r="35" spans="31:44" x14ac:dyDescent="0.3">
      <c r="AE35" s="3" t="s">
        <v>88</v>
      </c>
      <c r="AF35" s="1">
        <v>27876</v>
      </c>
      <c r="AG35" s="1">
        <v>24263</v>
      </c>
      <c r="AH35" s="1">
        <v>27508</v>
      </c>
      <c r="AI35" s="1">
        <v>35544</v>
      </c>
      <c r="AJ35" s="1">
        <v>44221</v>
      </c>
      <c r="AK35" s="1">
        <v>52535</v>
      </c>
      <c r="AL35" s="1">
        <v>55432</v>
      </c>
      <c r="AM35" s="8">
        <v>57198</v>
      </c>
      <c r="AN35" s="8">
        <v>57641</v>
      </c>
      <c r="AO35" s="1">
        <v>72461</v>
      </c>
      <c r="AP35" s="1">
        <v>80763</v>
      </c>
      <c r="AQ35" s="1">
        <v>50911</v>
      </c>
      <c r="AR35" s="3">
        <v>45575</v>
      </c>
    </row>
    <row r="36" spans="31:44" x14ac:dyDescent="0.3">
      <c r="AE36" s="3" t="s">
        <v>89</v>
      </c>
      <c r="AF36" s="1">
        <v>218426</v>
      </c>
      <c r="AG36" s="1">
        <v>237315</v>
      </c>
      <c r="AH36" s="1">
        <v>263184</v>
      </c>
      <c r="AI36" s="1">
        <v>272580</v>
      </c>
      <c r="AJ36" s="1">
        <v>327192</v>
      </c>
      <c r="AK36" s="1">
        <v>305703</v>
      </c>
      <c r="AL36" s="1">
        <v>320179</v>
      </c>
      <c r="AM36" s="8">
        <v>341570</v>
      </c>
      <c r="AN36" s="8">
        <v>329061</v>
      </c>
      <c r="AO36" s="1">
        <v>334674</v>
      </c>
      <c r="AP36" s="1">
        <v>369521</v>
      </c>
      <c r="AQ36" s="1">
        <v>376973</v>
      </c>
      <c r="AR36" s="3">
        <v>344264</v>
      </c>
    </row>
  </sheetData>
  <mergeCells count="7">
    <mergeCell ref="AE1:AR1"/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FAA-77AB-4BED-B2E4-275374278A48}">
  <dimension ref="A1:AR36"/>
  <sheetViews>
    <sheetView zoomScale="60" workbookViewId="0">
      <selection activeCell="AW35" sqref="AW35"/>
    </sheetView>
  </sheetViews>
  <sheetFormatPr defaultRowHeight="14.4" x14ac:dyDescent="0.3"/>
  <cols>
    <col min="1" max="1" width="36" bestFit="1" customWidth="1"/>
    <col min="2" max="7" width="11.44140625" bestFit="1" customWidth="1"/>
    <col min="8" max="8" width="11.77734375" bestFit="1" customWidth="1"/>
    <col min="9" max="9" width="11.44140625" bestFit="1" customWidth="1"/>
    <col min="10" max="13" width="11.77734375" bestFit="1" customWidth="1"/>
    <col min="16" max="16" width="37" bestFit="1" customWidth="1"/>
    <col min="17" max="22" width="11.44140625" bestFit="1" customWidth="1"/>
    <col min="23" max="23" width="11.77734375" bestFit="1" customWidth="1"/>
    <col min="24" max="24" width="11.44140625" bestFit="1" customWidth="1"/>
    <col min="25" max="28" width="11.77734375" bestFit="1" customWidth="1"/>
    <col min="31" max="31" width="32.109375" bestFit="1" customWidth="1"/>
    <col min="32" max="37" width="11.44140625" bestFit="1" customWidth="1"/>
    <col min="38" max="38" width="11.77734375" bestFit="1" customWidth="1"/>
    <col min="39" max="39" width="11.44140625" bestFit="1" customWidth="1"/>
    <col min="40" max="43" width="11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30</v>
      </c>
      <c r="B2" s="1">
        <v>11859</v>
      </c>
      <c r="C2" s="1">
        <v>15708</v>
      </c>
      <c r="D2" s="1">
        <v>21260</v>
      </c>
      <c r="E2" s="1">
        <v>22871</v>
      </c>
      <c r="F2" s="1">
        <v>29636</v>
      </c>
      <c r="G2" s="1">
        <v>33197</v>
      </c>
      <c r="H2" s="1">
        <v>21951</v>
      </c>
      <c r="I2" s="8">
        <v>19454</v>
      </c>
      <c r="J2" s="8">
        <v>26237</v>
      </c>
      <c r="K2" s="1">
        <v>41673</v>
      </c>
      <c r="L2" s="1">
        <v>45703</v>
      </c>
      <c r="M2" s="1">
        <v>48535</v>
      </c>
      <c r="P2" s="3" t="s">
        <v>52</v>
      </c>
      <c r="Q2" s="1">
        <v>-104</v>
      </c>
      <c r="R2" s="1">
        <v>95</v>
      </c>
      <c r="S2" s="1">
        <v>-1275</v>
      </c>
      <c r="T2" s="1">
        <v>270</v>
      </c>
      <c r="U2" s="37">
        <v>1462</v>
      </c>
      <c r="V2" s="1">
        <v>-3745</v>
      </c>
      <c r="W2" s="1">
        <v>383</v>
      </c>
      <c r="X2" s="35">
        <v>-1065</v>
      </c>
      <c r="Y2" s="35">
        <v>2845</v>
      </c>
      <c r="Z2" s="37">
        <v>-4499</v>
      </c>
      <c r="AA2" s="1">
        <v>-6258</v>
      </c>
      <c r="AB2" s="1">
        <v>128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4" x14ac:dyDescent="0.3">
      <c r="A3" s="3" t="s">
        <v>31</v>
      </c>
      <c r="B3" s="1">
        <v>11437</v>
      </c>
      <c r="C3" s="1">
        <v>14191</v>
      </c>
      <c r="D3" s="1">
        <v>18281</v>
      </c>
      <c r="E3" s="1">
        <v>19826</v>
      </c>
      <c r="F3" s="1">
        <v>25387</v>
      </c>
      <c r="G3" s="1">
        <v>28287</v>
      </c>
      <c r="H3" s="1">
        <v>18718</v>
      </c>
      <c r="I3" s="8">
        <v>16992</v>
      </c>
      <c r="J3" s="8">
        <v>23472</v>
      </c>
      <c r="K3" s="1">
        <v>36580</v>
      </c>
      <c r="L3" s="1">
        <v>37848</v>
      </c>
      <c r="M3" s="1">
        <v>39327</v>
      </c>
      <c r="P3" s="3" t="s">
        <v>35</v>
      </c>
      <c r="Q3" s="1">
        <v>195</v>
      </c>
      <c r="R3" s="1">
        <v>1324</v>
      </c>
      <c r="S3" s="1">
        <v>2484</v>
      </c>
      <c r="T3" s="1">
        <v>2834</v>
      </c>
      <c r="U3" s="37">
        <v>3407</v>
      </c>
      <c r="V3" s="1">
        <v>3901</v>
      </c>
      <c r="W3" s="1">
        <v>1801</v>
      </c>
      <c r="X3" s="35">
        <v>844</v>
      </c>
      <c r="Y3" s="35">
        <v>1246</v>
      </c>
      <c r="Z3" s="37">
        <v>3323</v>
      </c>
      <c r="AA3" s="1">
        <v>5562</v>
      </c>
      <c r="AB3" s="1">
        <v>6445</v>
      </c>
      <c r="AE3" s="3" t="s">
        <v>56</v>
      </c>
      <c r="AF3" s="1">
        <v>266</v>
      </c>
      <c r="AG3" s="1">
        <v>285</v>
      </c>
      <c r="AH3" s="1">
        <v>285</v>
      </c>
      <c r="AI3" s="1">
        <v>285</v>
      </c>
      <c r="AJ3" s="1">
        <v>293</v>
      </c>
      <c r="AK3" s="1">
        <v>294</v>
      </c>
      <c r="AL3" s="1">
        <v>294</v>
      </c>
      <c r="AM3" s="8">
        <v>294</v>
      </c>
      <c r="AN3" s="8">
        <v>294</v>
      </c>
      <c r="AO3" s="1">
        <v>294</v>
      </c>
      <c r="AP3" s="1">
        <v>294</v>
      </c>
      <c r="AQ3" s="1">
        <v>294</v>
      </c>
    </row>
    <row r="4" spans="1:44" x14ac:dyDescent="0.3">
      <c r="A4" s="3" t="s">
        <v>15</v>
      </c>
      <c r="B4" s="1">
        <v>422</v>
      </c>
      <c r="C4" s="1">
        <v>1517</v>
      </c>
      <c r="D4" s="1">
        <v>2979</v>
      </c>
      <c r="E4" s="1">
        <v>3045</v>
      </c>
      <c r="F4" s="1">
        <v>4248</v>
      </c>
      <c r="G4" s="1">
        <v>4910</v>
      </c>
      <c r="H4" s="1">
        <v>3233</v>
      </c>
      <c r="I4" s="8">
        <v>2462</v>
      </c>
      <c r="J4" s="8">
        <v>2765</v>
      </c>
      <c r="K4" s="1">
        <v>5093</v>
      </c>
      <c r="L4" s="1">
        <v>7856</v>
      </c>
      <c r="M4" s="1">
        <v>9208</v>
      </c>
      <c r="P4" s="3" t="s">
        <v>36</v>
      </c>
      <c r="Q4" s="1">
        <v>262</v>
      </c>
      <c r="R4" s="1">
        <v>29</v>
      </c>
      <c r="S4" s="1">
        <v>-64</v>
      </c>
      <c r="T4" s="1">
        <v>584</v>
      </c>
      <c r="U4" s="37">
        <v>52</v>
      </c>
      <c r="V4" s="1">
        <v>-1555</v>
      </c>
      <c r="W4" s="1">
        <v>1202</v>
      </c>
      <c r="X4" s="35">
        <v>-1554</v>
      </c>
      <c r="Y4" s="35">
        <v>-254</v>
      </c>
      <c r="Z4" s="37">
        <v>-902</v>
      </c>
      <c r="AA4" s="1">
        <v>306</v>
      </c>
      <c r="AB4" s="1">
        <v>490</v>
      </c>
      <c r="AE4" s="3" t="s">
        <v>57</v>
      </c>
      <c r="AF4" s="1">
        <v>3723</v>
      </c>
      <c r="AG4" s="1">
        <v>4227</v>
      </c>
      <c r="AH4" s="1">
        <v>4979</v>
      </c>
      <c r="AI4" s="1">
        <v>6108</v>
      </c>
      <c r="AJ4" s="1">
        <v>7128</v>
      </c>
      <c r="AK4" s="1">
        <v>8452</v>
      </c>
      <c r="AL4" s="1">
        <v>7495</v>
      </c>
      <c r="AM4" s="8">
        <v>7568</v>
      </c>
      <c r="AN4" s="8">
        <v>7010</v>
      </c>
      <c r="AO4" s="1">
        <v>8258</v>
      </c>
      <c r="AP4" s="1">
        <v>8711</v>
      </c>
      <c r="AQ4" s="1">
        <v>11938</v>
      </c>
      <c r="AR4" s="33"/>
    </row>
    <row r="5" spans="1:44" x14ac:dyDescent="0.3">
      <c r="A5" s="3" t="s">
        <v>16</v>
      </c>
      <c r="B5" s="1">
        <v>0.04</v>
      </c>
      <c r="C5" s="1">
        <v>0.1</v>
      </c>
      <c r="D5" s="1">
        <v>0.14000000000000001</v>
      </c>
      <c r="E5" s="1">
        <v>0.13</v>
      </c>
      <c r="F5" s="1">
        <v>0.14000000000000001</v>
      </c>
      <c r="G5" s="1">
        <v>0.15</v>
      </c>
      <c r="H5" s="1">
        <v>0.15</v>
      </c>
      <c r="I5" s="8">
        <v>0.13</v>
      </c>
      <c r="J5" s="8">
        <v>0.11</v>
      </c>
      <c r="K5" s="1">
        <v>0.12</v>
      </c>
      <c r="L5" s="1">
        <v>0.17</v>
      </c>
      <c r="M5" s="1">
        <v>0.19</v>
      </c>
      <c r="P5" s="3" t="s">
        <v>37</v>
      </c>
      <c r="Q5" s="1">
        <v>657</v>
      </c>
      <c r="R5" s="1">
        <v>-112</v>
      </c>
      <c r="S5" s="1">
        <v>-408</v>
      </c>
      <c r="T5" s="1">
        <v>-785</v>
      </c>
      <c r="U5" s="37">
        <v>741</v>
      </c>
      <c r="V5" s="1">
        <v>-856</v>
      </c>
      <c r="W5" s="1">
        <v>1527</v>
      </c>
      <c r="X5" s="35">
        <v>-959</v>
      </c>
      <c r="Y5" s="35">
        <v>-48</v>
      </c>
      <c r="Z5" s="37">
        <v>-900</v>
      </c>
      <c r="AA5" s="1">
        <v>-568</v>
      </c>
      <c r="AB5" s="1">
        <v>22</v>
      </c>
      <c r="AE5" s="3" t="s">
        <v>91</v>
      </c>
      <c r="AF5" s="1">
        <v>8500</v>
      </c>
      <c r="AG5" s="1">
        <v>9070</v>
      </c>
      <c r="AH5" s="1">
        <v>11054</v>
      </c>
      <c r="AI5" s="1">
        <v>13168</v>
      </c>
      <c r="AJ5" s="1">
        <v>15791</v>
      </c>
      <c r="AK5" s="1">
        <v>19168</v>
      </c>
      <c r="AL5" s="1">
        <v>22417</v>
      </c>
      <c r="AM5" s="8">
        <v>24077</v>
      </c>
      <c r="AN5" s="8">
        <v>24145</v>
      </c>
      <c r="AO5" s="1">
        <v>31161</v>
      </c>
      <c r="AP5" s="1">
        <v>40802</v>
      </c>
      <c r="AQ5" s="1">
        <v>49962</v>
      </c>
      <c r="AR5" s="33"/>
    </row>
    <row r="6" spans="1:44" x14ac:dyDescent="0.3">
      <c r="A6" s="3" t="s">
        <v>32</v>
      </c>
      <c r="B6" s="1">
        <v>613</v>
      </c>
      <c r="C6" s="1">
        <v>-106</v>
      </c>
      <c r="D6" s="1">
        <v>-321</v>
      </c>
      <c r="E6" s="1">
        <v>406</v>
      </c>
      <c r="F6" s="1">
        <v>190</v>
      </c>
      <c r="G6" s="1">
        <v>139</v>
      </c>
      <c r="H6" s="1">
        <v>57</v>
      </c>
      <c r="I6" s="8">
        <v>207</v>
      </c>
      <c r="J6" s="8">
        <v>-230</v>
      </c>
      <c r="K6" s="1">
        <v>166</v>
      </c>
      <c r="L6" s="1">
        <v>160</v>
      </c>
      <c r="M6" s="1">
        <v>405</v>
      </c>
      <c r="P6" s="3" t="s">
        <v>38</v>
      </c>
      <c r="Q6" s="1">
        <v>0</v>
      </c>
      <c r="R6" s="1">
        <v>0</v>
      </c>
      <c r="S6" s="1">
        <v>-265</v>
      </c>
      <c r="T6" s="1">
        <v>114</v>
      </c>
      <c r="U6" s="37">
        <v>1598</v>
      </c>
      <c r="V6" s="1">
        <v>119</v>
      </c>
      <c r="W6" s="1">
        <v>-2509</v>
      </c>
      <c r="X6" s="35">
        <v>2062</v>
      </c>
      <c r="Y6" s="35">
        <v>1916</v>
      </c>
      <c r="Z6" s="37">
        <v>320</v>
      </c>
      <c r="AA6" s="1">
        <v>-782</v>
      </c>
      <c r="AB6" s="1">
        <v>1225</v>
      </c>
      <c r="AE6" s="3" t="s">
        <v>59</v>
      </c>
      <c r="AF6" s="1">
        <v>5491</v>
      </c>
      <c r="AG6" s="1">
        <v>6219</v>
      </c>
      <c r="AH6" s="1">
        <v>7527</v>
      </c>
      <c r="AI6" s="1">
        <v>8876</v>
      </c>
      <c r="AJ6" s="1">
        <v>10228</v>
      </c>
      <c r="AK6" s="1">
        <v>13010</v>
      </c>
      <c r="AL6" s="1">
        <v>13309</v>
      </c>
      <c r="AM6" s="8">
        <v>15565</v>
      </c>
      <c r="AN6" s="8">
        <v>15297</v>
      </c>
      <c r="AO6" s="1">
        <v>19503</v>
      </c>
      <c r="AP6" s="1">
        <v>26696</v>
      </c>
      <c r="AQ6" s="1">
        <v>36383</v>
      </c>
      <c r="AR6" s="33"/>
    </row>
    <row r="7" spans="1:44" x14ac:dyDescent="0.3">
      <c r="A7" s="3" t="s">
        <v>18</v>
      </c>
      <c r="B7" s="1">
        <v>805</v>
      </c>
      <c r="C7" s="1">
        <v>872</v>
      </c>
      <c r="D7" s="1">
        <v>925</v>
      </c>
      <c r="E7" s="1">
        <v>1049</v>
      </c>
      <c r="F7" s="1">
        <v>1227</v>
      </c>
      <c r="G7" s="1">
        <v>1502</v>
      </c>
      <c r="H7" s="1">
        <v>1802</v>
      </c>
      <c r="I7" s="8">
        <v>1901</v>
      </c>
      <c r="J7" s="8">
        <v>1869</v>
      </c>
      <c r="K7" s="1">
        <v>2094</v>
      </c>
      <c r="L7" s="1">
        <v>2982</v>
      </c>
      <c r="M7" s="1">
        <v>3930</v>
      </c>
      <c r="P7" s="3" t="s">
        <v>39</v>
      </c>
      <c r="Q7" s="1">
        <v>-403</v>
      </c>
      <c r="R7" s="1">
        <v>-2138</v>
      </c>
      <c r="S7" s="1">
        <v>-3020</v>
      </c>
      <c r="T7" s="1">
        <v>0</v>
      </c>
      <c r="U7" s="37">
        <v>0</v>
      </c>
      <c r="V7" s="1">
        <v>0</v>
      </c>
      <c r="W7" s="1">
        <v>0</v>
      </c>
      <c r="X7" s="35">
        <v>0</v>
      </c>
      <c r="Y7" s="35">
        <v>0</v>
      </c>
      <c r="Z7" s="37">
        <v>0</v>
      </c>
      <c r="AA7" s="1">
        <v>-7</v>
      </c>
      <c r="AB7" s="1">
        <v>5</v>
      </c>
      <c r="AE7" s="3" t="s">
        <v>60</v>
      </c>
      <c r="AF7" s="1">
        <v>1264</v>
      </c>
      <c r="AG7" s="1">
        <v>827</v>
      </c>
      <c r="AH7" s="1">
        <v>1073</v>
      </c>
      <c r="AI7" s="1">
        <v>1035</v>
      </c>
      <c r="AJ7" s="1">
        <v>1919</v>
      </c>
      <c r="AK7" s="1">
        <v>2138</v>
      </c>
      <c r="AL7" s="1">
        <v>2843</v>
      </c>
      <c r="AM7" s="8">
        <v>8325</v>
      </c>
      <c r="AN7" s="8">
        <v>8642</v>
      </c>
      <c r="AO7" s="1">
        <v>11418</v>
      </c>
      <c r="AP7" s="1">
        <v>13869</v>
      </c>
      <c r="AQ7" s="1">
        <v>13318</v>
      </c>
      <c r="AR7" s="33"/>
    </row>
    <row r="8" spans="1:44" x14ac:dyDescent="0.3">
      <c r="A8" s="3" t="s">
        <v>19</v>
      </c>
      <c r="B8" s="1">
        <v>530</v>
      </c>
      <c r="C8" s="1">
        <v>580</v>
      </c>
      <c r="D8" s="1">
        <v>524</v>
      </c>
      <c r="E8" s="1">
        <v>573</v>
      </c>
      <c r="F8" s="1">
        <v>646</v>
      </c>
      <c r="G8" s="1">
        <v>676</v>
      </c>
      <c r="H8" s="1">
        <v>750</v>
      </c>
      <c r="I8" s="8">
        <v>836</v>
      </c>
      <c r="J8" s="8">
        <v>866</v>
      </c>
      <c r="K8" s="1">
        <v>900</v>
      </c>
      <c r="L8" s="1">
        <v>927</v>
      </c>
      <c r="M8" s="1">
        <v>1087</v>
      </c>
      <c r="P8" s="3" t="s">
        <v>40</v>
      </c>
      <c r="Q8" s="1">
        <v>-719</v>
      </c>
      <c r="R8" s="1">
        <v>1103</v>
      </c>
      <c r="S8" s="1">
        <v>540</v>
      </c>
      <c r="T8" s="1">
        <v>-2002</v>
      </c>
      <c r="U8" s="37">
        <v>-3757</v>
      </c>
      <c r="V8" s="1">
        <v>-4602</v>
      </c>
      <c r="W8" s="1">
        <v>-1417</v>
      </c>
      <c r="X8" s="35">
        <v>-1494</v>
      </c>
      <c r="Y8" s="35">
        <v>40</v>
      </c>
      <c r="Z8" s="37">
        <v>-5779</v>
      </c>
      <c r="AA8" s="1">
        <v>-9904</v>
      </c>
      <c r="AB8" s="1">
        <v>-6908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180</v>
      </c>
      <c r="AM8" s="8">
        <v>187</v>
      </c>
      <c r="AN8" s="8">
        <v>206</v>
      </c>
      <c r="AO8" s="1">
        <v>240</v>
      </c>
      <c r="AP8" s="1">
        <v>238</v>
      </c>
      <c r="AQ8" s="1">
        <v>261</v>
      </c>
    </row>
    <row r="9" spans="1:44" x14ac:dyDescent="0.3">
      <c r="A9" s="3" t="s">
        <v>28</v>
      </c>
      <c r="B9" s="1">
        <v>-300</v>
      </c>
      <c r="C9" s="1">
        <v>-42</v>
      </c>
      <c r="D9" s="1">
        <v>1209</v>
      </c>
      <c r="E9" s="1">
        <v>1829</v>
      </c>
      <c r="F9" s="1">
        <v>2565</v>
      </c>
      <c r="G9" s="1">
        <v>2872</v>
      </c>
      <c r="H9" s="1">
        <v>739</v>
      </c>
      <c r="I9" s="8">
        <v>-67</v>
      </c>
      <c r="J9" s="8">
        <v>-200</v>
      </c>
      <c r="K9" s="1">
        <v>2265</v>
      </c>
      <c r="L9" s="1">
        <v>4106</v>
      </c>
      <c r="M9" s="1">
        <v>4596</v>
      </c>
      <c r="P9" s="3" t="s">
        <v>53</v>
      </c>
      <c r="Q9" s="1">
        <v>-202</v>
      </c>
      <c r="R9" s="1">
        <v>-1118</v>
      </c>
      <c r="S9" s="1">
        <v>-3216</v>
      </c>
      <c r="T9" s="1">
        <v>-2090</v>
      </c>
      <c r="U9" s="37">
        <v>-1366</v>
      </c>
      <c r="V9" s="1">
        <v>-6893</v>
      </c>
      <c r="W9" s="1">
        <v>-1196</v>
      </c>
      <c r="X9" s="35">
        <v>-1947</v>
      </c>
      <c r="Y9" s="35">
        <v>1654</v>
      </c>
      <c r="Z9" s="37">
        <v>-7261</v>
      </c>
      <c r="AA9" s="1">
        <v>-10954</v>
      </c>
      <c r="AB9" s="1">
        <v>-5166</v>
      </c>
      <c r="AE9" s="3" t="s">
        <v>62</v>
      </c>
      <c r="AF9" s="1">
        <v>1744</v>
      </c>
      <c r="AG9" s="1">
        <v>2024</v>
      </c>
      <c r="AH9" s="1">
        <v>2454</v>
      </c>
      <c r="AI9" s="1">
        <v>3257</v>
      </c>
      <c r="AJ9" s="1">
        <v>3644</v>
      </c>
      <c r="AK9" s="1">
        <v>4021</v>
      </c>
      <c r="AL9" s="1">
        <v>6086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</row>
    <row r="10" spans="1:44" x14ac:dyDescent="0.3">
      <c r="A10" s="3" t="s">
        <v>21</v>
      </c>
      <c r="B10" s="1">
        <v>-0.23</v>
      </c>
      <c r="C10" s="1">
        <v>4.1500000000000004</v>
      </c>
      <c r="D10" s="1">
        <v>0.41</v>
      </c>
      <c r="E10" s="1">
        <v>0.11</v>
      </c>
      <c r="F10" s="1">
        <v>0.28999999999999998</v>
      </c>
      <c r="G10" s="1">
        <v>0.24</v>
      </c>
      <c r="H10" s="1">
        <v>0.38</v>
      </c>
      <c r="I10" s="8">
        <v>0.04</v>
      </c>
      <c r="J10" s="8">
        <v>0.43</v>
      </c>
      <c r="K10" s="1">
        <v>0.4</v>
      </c>
      <c r="L10" s="1">
        <v>0.34</v>
      </c>
      <c r="M10" s="1">
        <v>0.26</v>
      </c>
      <c r="P10" s="3" t="s">
        <v>41</v>
      </c>
      <c r="Q10" s="1">
        <v>-97</v>
      </c>
      <c r="R10" s="1">
        <v>-112</v>
      </c>
      <c r="S10" s="1">
        <v>-543</v>
      </c>
      <c r="T10" s="1">
        <v>-474</v>
      </c>
      <c r="U10" s="37">
        <v>-578</v>
      </c>
      <c r="V10" s="1">
        <v>-753</v>
      </c>
      <c r="W10" s="1">
        <v>-221</v>
      </c>
      <c r="X10" s="35">
        <v>37</v>
      </c>
      <c r="Y10" s="35">
        <v>-56</v>
      </c>
      <c r="Z10" s="37">
        <v>-561</v>
      </c>
      <c r="AA10" s="1">
        <v>-866</v>
      </c>
      <c r="AB10" s="1">
        <v>-1150</v>
      </c>
      <c r="AE10" s="3" t="s">
        <v>92</v>
      </c>
      <c r="AF10" s="1">
        <v>5035</v>
      </c>
      <c r="AG10" s="1">
        <v>6011</v>
      </c>
      <c r="AH10" s="1">
        <v>5806</v>
      </c>
      <c r="AI10" s="1">
        <v>7048</v>
      </c>
      <c r="AJ10" s="1">
        <v>10171</v>
      </c>
      <c r="AK10" s="1">
        <v>11212</v>
      </c>
      <c r="AL10" s="1">
        <v>7924</v>
      </c>
      <c r="AM10" s="8">
        <v>10119</v>
      </c>
      <c r="AN10" s="8">
        <v>12125</v>
      </c>
      <c r="AO10" s="1">
        <v>14984</v>
      </c>
      <c r="AP10" s="1">
        <v>17788</v>
      </c>
      <c r="AQ10" s="1">
        <v>19352</v>
      </c>
      <c r="AR10" s="33"/>
    </row>
    <row r="11" spans="1:44" x14ac:dyDescent="0.3">
      <c r="A11" s="3" t="s">
        <v>33</v>
      </c>
      <c r="B11" s="1">
        <v>-222</v>
      </c>
      <c r="C11" s="1">
        <v>-205</v>
      </c>
      <c r="D11" s="1">
        <v>712</v>
      </c>
      <c r="E11" s="1">
        <v>1633</v>
      </c>
      <c r="F11" s="1">
        <v>1814</v>
      </c>
      <c r="G11" s="1">
        <v>2195</v>
      </c>
      <c r="H11" s="1">
        <v>460</v>
      </c>
      <c r="I11" s="8">
        <v>-70</v>
      </c>
      <c r="J11" s="8">
        <v>-285</v>
      </c>
      <c r="K11" s="1">
        <v>1359</v>
      </c>
      <c r="L11" s="1">
        <v>2696</v>
      </c>
      <c r="M11" s="1">
        <v>3383</v>
      </c>
      <c r="Z11" s="38"/>
      <c r="AE11" s="3" t="s">
        <v>64</v>
      </c>
      <c r="AF11" s="1">
        <v>652</v>
      </c>
      <c r="AG11" s="1">
        <v>263</v>
      </c>
      <c r="AH11" s="1">
        <v>417</v>
      </c>
      <c r="AI11" s="1">
        <v>589</v>
      </c>
      <c r="AJ11" s="1">
        <v>825</v>
      </c>
      <c r="AK11" s="1">
        <v>1075</v>
      </c>
      <c r="AL11" s="1">
        <v>1107</v>
      </c>
      <c r="AM11" s="8">
        <v>1268</v>
      </c>
      <c r="AN11" s="8">
        <v>1286</v>
      </c>
      <c r="AO11" s="1">
        <v>2244</v>
      </c>
      <c r="AP11" s="1">
        <v>2810</v>
      </c>
      <c r="AQ11" s="1">
        <v>3613</v>
      </c>
      <c r="AR11" s="33"/>
    </row>
    <row r="12" spans="1:44" x14ac:dyDescent="0.3">
      <c r="A12" s="3" t="s">
        <v>29</v>
      </c>
      <c r="B12" s="1">
        <v>-0.31</v>
      </c>
      <c r="C12" s="1">
        <v>0.24</v>
      </c>
      <c r="D12" s="1">
        <v>1.2</v>
      </c>
      <c r="E12" s="1">
        <v>2.79</v>
      </c>
      <c r="F12" s="1">
        <v>3.01</v>
      </c>
      <c r="G12" s="1">
        <v>3.54</v>
      </c>
      <c r="H12" s="1">
        <v>0.56999999999999995</v>
      </c>
      <c r="I12" s="8">
        <v>-0.28000000000000003</v>
      </c>
      <c r="J12" s="8">
        <v>-0.61</v>
      </c>
      <c r="K12" s="1">
        <v>2.11</v>
      </c>
      <c r="L12" s="1">
        <v>4.2300000000000004</v>
      </c>
      <c r="M12" s="1">
        <v>5.29</v>
      </c>
      <c r="AE12" s="3" t="s">
        <v>65</v>
      </c>
      <c r="AF12" s="1">
        <v>2592</v>
      </c>
      <c r="AG12" s="1">
        <v>3082</v>
      </c>
      <c r="AH12" s="1">
        <v>2701</v>
      </c>
      <c r="AI12" s="1">
        <v>3450</v>
      </c>
      <c r="AJ12" s="1">
        <v>5054</v>
      </c>
      <c r="AK12" s="1">
        <v>5179</v>
      </c>
      <c r="AL12" s="1">
        <v>3277</v>
      </c>
      <c r="AM12" s="8">
        <v>5346</v>
      </c>
      <c r="AN12" s="8">
        <v>7250</v>
      </c>
      <c r="AO12" s="1">
        <v>7582</v>
      </c>
      <c r="AP12" s="1">
        <v>6798</v>
      </c>
      <c r="AQ12" s="1">
        <v>8019</v>
      </c>
      <c r="AR12" s="33"/>
    </row>
    <row r="13" spans="1:44" x14ac:dyDescent="0.3">
      <c r="A13" s="3" t="s">
        <v>24</v>
      </c>
      <c r="B13" s="1">
        <v>0</v>
      </c>
      <c r="C13" s="1">
        <v>0.96</v>
      </c>
      <c r="D13" s="1">
        <v>0.4</v>
      </c>
      <c r="E13" s="1">
        <v>0.28000000000000003</v>
      </c>
      <c r="F13" s="1">
        <v>0.4</v>
      </c>
      <c r="G13" s="1">
        <v>0.44</v>
      </c>
      <c r="H13" s="1">
        <v>0.44</v>
      </c>
      <c r="I13" s="8">
        <v>-1.07</v>
      </c>
      <c r="J13" s="8">
        <v>-0.82</v>
      </c>
      <c r="K13" s="1">
        <v>0.62</v>
      </c>
      <c r="L13" s="1">
        <v>0.59</v>
      </c>
      <c r="M13" s="1">
        <v>0.59</v>
      </c>
      <c r="AE13" s="3" t="s">
        <v>66</v>
      </c>
      <c r="AF13" s="1">
        <v>142</v>
      </c>
      <c r="AG13" s="1">
        <v>285</v>
      </c>
      <c r="AH13" s="1">
        <v>276</v>
      </c>
      <c r="AI13" s="1">
        <v>195</v>
      </c>
      <c r="AJ13" s="1">
        <v>819</v>
      </c>
      <c r="AK13" s="1">
        <v>448</v>
      </c>
      <c r="AL13" s="1">
        <v>255</v>
      </c>
      <c r="AM13" s="8">
        <v>151</v>
      </c>
      <c r="AN13" s="8">
        <v>198</v>
      </c>
      <c r="AO13" s="1">
        <v>183</v>
      </c>
      <c r="AP13" s="1">
        <v>258</v>
      </c>
      <c r="AQ13" s="1">
        <v>220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6"/>
      <c r="I14" s="13" t="s">
        <v>27</v>
      </c>
      <c r="J14" s="25"/>
      <c r="K14" s="16"/>
      <c r="L14" s="16"/>
      <c r="M14" s="16"/>
      <c r="AE14" s="3" t="s">
        <v>67</v>
      </c>
      <c r="AF14" s="1">
        <v>1649</v>
      </c>
      <c r="AG14" s="1">
        <v>2381</v>
      </c>
      <c r="AH14" s="1">
        <v>2412</v>
      </c>
      <c r="AI14" s="1">
        <v>2814</v>
      </c>
      <c r="AJ14" s="1">
        <v>3473</v>
      </c>
      <c r="AK14" s="1">
        <v>4510</v>
      </c>
      <c r="AL14" s="1">
        <v>3285</v>
      </c>
      <c r="AM14" s="8">
        <v>3353</v>
      </c>
      <c r="AN14" s="8">
        <v>3391</v>
      </c>
      <c r="AO14" s="1">
        <v>4975</v>
      </c>
      <c r="AP14" s="1">
        <v>7922</v>
      </c>
      <c r="AQ14" s="1">
        <v>7500</v>
      </c>
      <c r="AR14" s="33"/>
    </row>
    <row r="15" spans="1:44" x14ac:dyDescent="0.3">
      <c r="A15" s="51"/>
      <c r="B15" s="51"/>
      <c r="C15" s="51"/>
      <c r="D15" s="51"/>
      <c r="E15" s="51"/>
      <c r="F15" s="51"/>
      <c r="G15" s="51"/>
      <c r="H15" s="51"/>
      <c r="I15" s="13"/>
      <c r="J15" s="25"/>
      <c r="K15" s="51"/>
      <c r="L15" s="51"/>
      <c r="M15" s="51"/>
      <c r="AE15" s="2" t="s">
        <v>68</v>
      </c>
      <c r="AF15" s="2">
        <v>17524</v>
      </c>
      <c r="AG15" s="2">
        <v>19592</v>
      </c>
      <c r="AH15" s="2">
        <v>22123</v>
      </c>
      <c r="AI15" s="2">
        <v>26609</v>
      </c>
      <c r="AJ15" s="2">
        <v>33383</v>
      </c>
      <c r="AK15" s="2">
        <v>39126</v>
      </c>
      <c r="AL15" s="2">
        <v>38130</v>
      </c>
      <c r="AM15" s="7">
        <v>42058</v>
      </c>
      <c r="AN15" s="7">
        <v>43574</v>
      </c>
      <c r="AO15" s="2">
        <v>54697</v>
      </c>
      <c r="AP15" s="2">
        <v>67595</v>
      </c>
      <c r="AQ15" s="2">
        <v>81546</v>
      </c>
      <c r="AR15" s="33"/>
    </row>
    <row r="16" spans="1:44" x14ac:dyDescent="0.3">
      <c r="A16" s="51"/>
      <c r="B16" s="51"/>
      <c r="C16" s="51"/>
      <c r="D16" s="51"/>
      <c r="E16" s="51"/>
      <c r="F16" s="51"/>
      <c r="G16" s="51"/>
      <c r="H16" s="51"/>
      <c r="I16" s="13"/>
      <c r="J16" s="25"/>
      <c r="K16" s="51"/>
      <c r="L16" s="51"/>
      <c r="M16" s="51"/>
      <c r="AE16" s="3" t="s">
        <v>93</v>
      </c>
      <c r="AF16" s="1">
        <v>7573</v>
      </c>
      <c r="AG16" s="1">
        <v>6529</v>
      </c>
      <c r="AH16" s="1">
        <v>5890</v>
      </c>
      <c r="AI16" s="1">
        <v>6591</v>
      </c>
      <c r="AJ16" s="1">
        <v>6596</v>
      </c>
      <c r="AK16" s="1">
        <v>6695</v>
      </c>
      <c r="AL16" s="1">
        <v>8031</v>
      </c>
      <c r="AM16" s="8">
        <v>8484</v>
      </c>
      <c r="AN16" s="8">
        <v>7895</v>
      </c>
      <c r="AO16" s="1">
        <v>8146</v>
      </c>
      <c r="AP16" s="1">
        <v>8157</v>
      </c>
      <c r="AQ16" s="1">
        <v>8837</v>
      </c>
      <c r="AR16" s="33"/>
    </row>
    <row r="17" spans="1:44" x14ac:dyDescent="0.3">
      <c r="A17" s="20"/>
      <c r="B17" s="20"/>
      <c r="C17" s="20"/>
      <c r="D17" s="20"/>
      <c r="E17" s="20"/>
      <c r="F17" s="20"/>
      <c r="G17" s="20"/>
      <c r="H17" s="20"/>
      <c r="I17" s="25"/>
      <c r="J17" s="25"/>
      <c r="K17" s="20"/>
      <c r="L17" s="20"/>
      <c r="M17" s="20"/>
      <c r="AE17" s="3" t="s">
        <v>70</v>
      </c>
      <c r="AF17" s="1">
        <v>1265</v>
      </c>
      <c r="AG17" s="1">
        <v>1092</v>
      </c>
      <c r="AH17" s="1">
        <v>551</v>
      </c>
      <c r="AI17" s="1">
        <v>647</v>
      </c>
      <c r="AJ17" s="1">
        <v>783</v>
      </c>
      <c r="AK17" s="1">
        <v>760</v>
      </c>
      <c r="AL17" s="1">
        <v>1180</v>
      </c>
      <c r="AM17" s="8">
        <v>1110</v>
      </c>
      <c r="AN17" s="8">
        <v>1096</v>
      </c>
      <c r="AO17" s="1">
        <v>1047</v>
      </c>
      <c r="AP17" s="1">
        <v>1050</v>
      </c>
      <c r="AQ17" s="1">
        <v>1084</v>
      </c>
    </row>
    <row r="18" spans="1:44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47" t="s">
        <v>7</v>
      </c>
      <c r="I18" s="7" t="s">
        <v>8</v>
      </c>
      <c r="J18" s="7" t="s">
        <v>9</v>
      </c>
      <c r="K18" s="49" t="s">
        <v>10</v>
      </c>
      <c r="L18" s="2" t="s">
        <v>11</v>
      </c>
      <c r="M18" s="2" t="s">
        <v>12</v>
      </c>
      <c r="AE18" s="3" t="s">
        <v>71</v>
      </c>
      <c r="AF18" s="1">
        <v>1644</v>
      </c>
      <c r="AG18" s="1">
        <v>1669</v>
      </c>
      <c r="AH18" s="1">
        <v>1382</v>
      </c>
      <c r="AI18" s="1">
        <v>1477</v>
      </c>
      <c r="AJ18" s="1">
        <v>1533</v>
      </c>
      <c r="AK18" s="1">
        <v>1649</v>
      </c>
      <c r="AL18" s="1">
        <v>1828</v>
      </c>
      <c r="AM18" s="8">
        <v>2002</v>
      </c>
      <c r="AN18" s="8">
        <v>2027</v>
      </c>
      <c r="AO18" s="1">
        <v>2191</v>
      </c>
      <c r="AP18" s="1">
        <v>2242</v>
      </c>
      <c r="AQ18" s="1">
        <v>2413</v>
      </c>
    </row>
    <row r="19" spans="1:44" x14ac:dyDescent="0.3">
      <c r="A19" s="3" t="s">
        <v>25</v>
      </c>
      <c r="B19" s="1">
        <f>Q2</f>
        <v>-104</v>
      </c>
      <c r="C19" s="1">
        <f t="shared" ref="C19:M19" si="0">R2</f>
        <v>95</v>
      </c>
      <c r="D19" s="1">
        <f t="shared" si="0"/>
        <v>-1275</v>
      </c>
      <c r="E19" s="1">
        <f t="shared" si="0"/>
        <v>270</v>
      </c>
      <c r="F19" s="1">
        <f t="shared" si="0"/>
        <v>1462</v>
      </c>
      <c r="G19" s="1">
        <f t="shared" si="0"/>
        <v>-3745</v>
      </c>
      <c r="H19" s="48">
        <f t="shared" si="0"/>
        <v>383</v>
      </c>
      <c r="I19" s="8">
        <f t="shared" si="0"/>
        <v>-1065</v>
      </c>
      <c r="J19" s="8">
        <f t="shared" si="0"/>
        <v>2845</v>
      </c>
      <c r="K19" s="50">
        <f t="shared" si="0"/>
        <v>-4499</v>
      </c>
      <c r="L19" s="1">
        <f t="shared" si="0"/>
        <v>-6258</v>
      </c>
      <c r="M19" s="1">
        <f t="shared" si="0"/>
        <v>128</v>
      </c>
      <c r="AE19" s="3" t="s">
        <v>72</v>
      </c>
      <c r="AF19" s="1">
        <v>5845</v>
      </c>
      <c r="AG19" s="1">
        <v>5218</v>
      </c>
      <c r="AH19" s="1">
        <v>2992</v>
      </c>
      <c r="AI19" s="1">
        <v>3473</v>
      </c>
      <c r="AJ19" s="1">
        <v>3672</v>
      </c>
      <c r="AK19" s="1">
        <v>4033</v>
      </c>
      <c r="AL19" s="1">
        <v>4803</v>
      </c>
      <c r="AM19" s="8">
        <v>5478</v>
      </c>
      <c r="AN19" s="8">
        <v>5724</v>
      </c>
      <c r="AO19" s="1">
        <v>6023</v>
      </c>
      <c r="AP19" s="1">
        <v>6161</v>
      </c>
      <c r="AQ19" s="1">
        <v>6440</v>
      </c>
    </row>
    <row r="20" spans="1:44" x14ac:dyDescent="0.3">
      <c r="A20" s="16"/>
      <c r="B20" s="16"/>
      <c r="C20" s="16"/>
      <c r="D20" s="16"/>
      <c r="E20" s="16"/>
      <c r="F20" s="16"/>
      <c r="G20" s="16"/>
      <c r="H20" s="16"/>
      <c r="I20" s="39"/>
      <c r="J20" s="40"/>
      <c r="K20" s="16"/>
      <c r="L20" s="16"/>
      <c r="M20" s="16"/>
      <c r="AE20" s="3" t="s">
        <v>73</v>
      </c>
      <c r="AF20" s="1">
        <v>229</v>
      </c>
      <c r="AG20" s="1">
        <v>237</v>
      </c>
      <c r="AH20" s="1">
        <v>58</v>
      </c>
      <c r="AI20" s="1">
        <v>68</v>
      </c>
      <c r="AJ20" s="1">
        <v>86</v>
      </c>
      <c r="AK20" s="1">
        <v>146</v>
      </c>
      <c r="AL20" s="1">
        <v>201</v>
      </c>
      <c r="AM20" s="8">
        <v>227</v>
      </c>
      <c r="AN20" s="8">
        <v>241</v>
      </c>
      <c r="AO20" s="1">
        <v>272</v>
      </c>
      <c r="AP20" s="1">
        <v>336</v>
      </c>
      <c r="AQ20" s="1">
        <v>408</v>
      </c>
    </row>
    <row r="21" spans="1:44" x14ac:dyDescent="0.3">
      <c r="A21" s="20"/>
      <c r="B21" s="20"/>
      <c r="C21" s="20"/>
      <c r="D21" s="20"/>
      <c r="E21" s="20"/>
      <c r="F21" s="20"/>
      <c r="G21" s="20"/>
      <c r="H21" s="20"/>
      <c r="I21" s="41"/>
      <c r="J21" s="42"/>
      <c r="K21" s="20"/>
      <c r="L21" s="20"/>
      <c r="M21" s="20"/>
      <c r="AE21" s="3" t="s">
        <v>74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26</v>
      </c>
      <c r="AM21" s="8">
        <v>26</v>
      </c>
      <c r="AN21" s="8">
        <v>36</v>
      </c>
      <c r="AO21" s="1">
        <v>64</v>
      </c>
      <c r="AP21" s="1">
        <v>84</v>
      </c>
      <c r="AQ21" s="1">
        <v>0</v>
      </c>
    </row>
    <row r="22" spans="1:44" x14ac:dyDescent="0.3">
      <c r="A22" s="2" t="s">
        <v>26</v>
      </c>
      <c r="B22" s="1">
        <f>B11-B19</f>
        <v>-118</v>
      </c>
      <c r="C22" s="1">
        <f>C11-C19</f>
        <v>-300</v>
      </c>
      <c r="D22" s="6">
        <f>D11-D19</f>
        <v>1987</v>
      </c>
      <c r="E22" s="6">
        <f>E11-E19</f>
        <v>1363</v>
      </c>
      <c r="F22" s="6">
        <f>F11-F19</f>
        <v>352</v>
      </c>
      <c r="G22" s="6">
        <f>G11-G19</f>
        <v>5940</v>
      </c>
      <c r="H22" s="53">
        <f>H11-H19</f>
        <v>77</v>
      </c>
      <c r="I22" s="8">
        <f>I11-I19</f>
        <v>995</v>
      </c>
      <c r="J22" s="8">
        <f>J11-J19</f>
        <v>-3130</v>
      </c>
      <c r="K22" s="54">
        <f>K11-K19</f>
        <v>5858</v>
      </c>
      <c r="L22" s="6">
        <f>L11-L19</f>
        <v>8954</v>
      </c>
      <c r="M22" s="6">
        <f>M11-M19</f>
        <v>3255</v>
      </c>
      <c r="AE22" s="3" t="s">
        <v>75</v>
      </c>
      <c r="AF22" s="1">
        <v>103</v>
      </c>
      <c r="AG22" s="1">
        <v>105</v>
      </c>
      <c r="AH22" s="1">
        <v>39</v>
      </c>
      <c r="AI22" s="1">
        <v>58</v>
      </c>
      <c r="AJ22" s="1">
        <v>78</v>
      </c>
      <c r="AK22" s="1">
        <v>99</v>
      </c>
      <c r="AL22" s="1">
        <v>103</v>
      </c>
      <c r="AM22" s="8">
        <v>121</v>
      </c>
      <c r="AN22" s="8">
        <v>119</v>
      </c>
      <c r="AO22" s="1">
        <v>132</v>
      </c>
      <c r="AP22" s="1">
        <v>149</v>
      </c>
      <c r="AQ22" s="1">
        <v>160</v>
      </c>
    </row>
    <row r="23" spans="1:44" x14ac:dyDescent="0.3">
      <c r="AE23" s="3" t="s">
        <v>76</v>
      </c>
      <c r="AF23" s="1">
        <v>172</v>
      </c>
      <c r="AG23" s="1">
        <v>177</v>
      </c>
      <c r="AH23" s="1">
        <v>101</v>
      </c>
      <c r="AI23" s="1">
        <v>83</v>
      </c>
      <c r="AJ23" s="1">
        <v>127</v>
      </c>
      <c r="AK23" s="1">
        <v>127</v>
      </c>
      <c r="AL23" s="1">
        <v>178</v>
      </c>
      <c r="AM23" s="8">
        <v>202</v>
      </c>
      <c r="AN23" s="8">
        <v>234</v>
      </c>
      <c r="AO23" s="1">
        <v>408</v>
      </c>
      <c r="AP23" s="1">
        <v>818</v>
      </c>
      <c r="AQ23" s="1">
        <v>1284</v>
      </c>
    </row>
    <row r="24" spans="1:44" x14ac:dyDescent="0.3">
      <c r="AE24" s="3" t="s">
        <v>77</v>
      </c>
      <c r="AF24" s="1">
        <v>1432</v>
      </c>
      <c r="AG24" s="1">
        <v>1344</v>
      </c>
      <c r="AH24" s="1">
        <v>1133</v>
      </c>
      <c r="AI24" s="1">
        <v>1531</v>
      </c>
      <c r="AJ24" s="1">
        <v>1588</v>
      </c>
      <c r="AK24" s="1">
        <v>1743</v>
      </c>
      <c r="AL24" s="1">
        <v>2443</v>
      </c>
      <c r="AM24" s="8">
        <v>2870</v>
      </c>
      <c r="AN24" s="8">
        <v>2722</v>
      </c>
      <c r="AO24" s="1">
        <v>3723</v>
      </c>
      <c r="AP24" s="1">
        <v>3833</v>
      </c>
      <c r="AQ24" s="1">
        <v>4265</v>
      </c>
      <c r="AR24" s="33"/>
    </row>
    <row r="25" spans="1:44" x14ac:dyDescent="0.3">
      <c r="AE25" s="3" t="s">
        <v>78</v>
      </c>
      <c r="AF25" s="1">
        <v>291</v>
      </c>
      <c r="AG25" s="1">
        <v>319</v>
      </c>
      <c r="AH25" s="1">
        <v>157</v>
      </c>
      <c r="AI25" s="1">
        <v>225</v>
      </c>
      <c r="AJ25" s="1">
        <v>289</v>
      </c>
      <c r="AK25" s="1">
        <v>342</v>
      </c>
      <c r="AL25" s="1">
        <v>372</v>
      </c>
      <c r="AM25" s="8">
        <v>380</v>
      </c>
      <c r="AN25" s="8">
        <v>296</v>
      </c>
      <c r="AO25" s="1">
        <v>385</v>
      </c>
      <c r="AP25" s="1">
        <v>415</v>
      </c>
      <c r="AQ25" s="1">
        <v>510</v>
      </c>
    </row>
    <row r="26" spans="1:44" x14ac:dyDescent="0.3">
      <c r="AE26" s="3" t="s">
        <v>79</v>
      </c>
      <c r="AF26" s="1">
        <v>10981</v>
      </c>
      <c r="AG26" s="1">
        <v>10162</v>
      </c>
      <c r="AH26" s="1">
        <v>6412</v>
      </c>
      <c r="AI26" s="1">
        <v>7562</v>
      </c>
      <c r="AJ26" s="1">
        <v>8156</v>
      </c>
      <c r="AK26" s="1">
        <v>8899</v>
      </c>
      <c r="AL26" s="1">
        <v>11134</v>
      </c>
      <c r="AM26" s="8">
        <v>12416</v>
      </c>
      <c r="AN26" s="8">
        <v>12495</v>
      </c>
      <c r="AO26" s="1">
        <v>14245</v>
      </c>
      <c r="AP26" s="1">
        <v>15088</v>
      </c>
      <c r="AQ26" s="1">
        <v>16564</v>
      </c>
    </row>
    <row r="27" spans="1:44" x14ac:dyDescent="0.3">
      <c r="AE27" s="3" t="s">
        <v>80</v>
      </c>
      <c r="AF27" s="1">
        <v>3409</v>
      </c>
      <c r="AG27" s="1">
        <v>3633</v>
      </c>
      <c r="AH27" s="1">
        <v>522</v>
      </c>
      <c r="AI27" s="1">
        <v>971</v>
      </c>
      <c r="AJ27" s="1">
        <v>1560</v>
      </c>
      <c r="AK27" s="1">
        <v>2204</v>
      </c>
      <c r="AL27" s="1">
        <v>3103</v>
      </c>
      <c r="AM27" s="8">
        <v>3932</v>
      </c>
      <c r="AN27" s="8">
        <v>4600</v>
      </c>
      <c r="AO27" s="1">
        <v>6098</v>
      </c>
      <c r="AP27" s="1">
        <v>6931</v>
      </c>
      <c r="AQ27" s="1">
        <v>7727</v>
      </c>
    </row>
    <row r="28" spans="1:44" x14ac:dyDescent="0.3">
      <c r="AE28" s="2" t="s">
        <v>81</v>
      </c>
      <c r="AF28" s="2">
        <v>297</v>
      </c>
      <c r="AG28" s="2">
        <v>216</v>
      </c>
      <c r="AH28" s="2">
        <v>87</v>
      </c>
      <c r="AI28" s="2">
        <v>244</v>
      </c>
      <c r="AJ28" s="2">
        <v>439</v>
      </c>
      <c r="AK28" s="2">
        <v>678</v>
      </c>
      <c r="AL28" s="2">
        <v>574</v>
      </c>
      <c r="AM28" s="7">
        <v>336</v>
      </c>
      <c r="AN28" s="7">
        <v>240</v>
      </c>
      <c r="AO28" s="2">
        <v>268</v>
      </c>
      <c r="AP28" s="2">
        <v>415</v>
      </c>
      <c r="AQ28" s="2">
        <v>577</v>
      </c>
      <c r="AR28" s="33"/>
    </row>
    <row r="29" spans="1:44" x14ac:dyDescent="0.3">
      <c r="AE29" s="3" t="s">
        <v>82</v>
      </c>
      <c r="AF29" s="1">
        <v>1165</v>
      </c>
      <c r="AG29" s="1">
        <v>1499</v>
      </c>
      <c r="AH29" s="1">
        <v>1031</v>
      </c>
      <c r="AI29" s="1">
        <v>1933</v>
      </c>
      <c r="AJ29" s="1">
        <v>4383</v>
      </c>
      <c r="AK29" s="1">
        <v>1492</v>
      </c>
      <c r="AL29" s="1">
        <v>960</v>
      </c>
      <c r="AM29" s="8">
        <v>1096</v>
      </c>
      <c r="AN29" s="8">
        <v>2652</v>
      </c>
      <c r="AO29" s="1">
        <v>4852</v>
      </c>
      <c r="AP29" s="1">
        <v>2329</v>
      </c>
      <c r="AQ29" s="1">
        <v>6610</v>
      </c>
      <c r="AR29" s="33"/>
    </row>
    <row r="30" spans="1:44" x14ac:dyDescent="0.3">
      <c r="AE30" s="3" t="s">
        <v>94</v>
      </c>
      <c r="AF30" s="1">
        <v>8491</v>
      </c>
      <c r="AG30" s="1">
        <v>11348</v>
      </c>
      <c r="AH30" s="1">
        <v>15115</v>
      </c>
      <c r="AI30" s="1">
        <v>17841</v>
      </c>
      <c r="AJ30" s="1">
        <v>21965</v>
      </c>
      <c r="AK30" s="1">
        <v>30261</v>
      </c>
      <c r="AL30" s="1">
        <v>28565</v>
      </c>
      <c r="AM30" s="8">
        <v>32143</v>
      </c>
      <c r="AN30" s="8">
        <v>32787</v>
      </c>
      <c r="AO30" s="1">
        <v>41430</v>
      </c>
      <c r="AP30" s="1">
        <v>56695</v>
      </c>
      <c r="AQ30" s="1">
        <v>65523</v>
      </c>
      <c r="AR30" s="33"/>
    </row>
    <row r="31" spans="1:44" x14ac:dyDescent="0.3">
      <c r="AE31" s="3" t="s">
        <v>84</v>
      </c>
      <c r="AF31" s="1">
        <v>1544</v>
      </c>
      <c r="AG31" s="1">
        <v>1656</v>
      </c>
      <c r="AH31" s="1">
        <v>1922</v>
      </c>
      <c r="AI31" s="1">
        <v>2955</v>
      </c>
      <c r="AJ31" s="1">
        <v>2214</v>
      </c>
      <c r="AK31" s="1">
        <v>3077</v>
      </c>
      <c r="AL31" s="1">
        <v>1547</v>
      </c>
      <c r="AM31" s="8">
        <v>2496</v>
      </c>
      <c r="AN31" s="8">
        <v>2541</v>
      </c>
      <c r="AO31" s="1">
        <v>3440</v>
      </c>
      <c r="AP31" s="1">
        <v>4008</v>
      </c>
      <c r="AQ31" s="1">
        <v>3986</v>
      </c>
      <c r="AR31" s="33"/>
    </row>
    <row r="32" spans="1:44" x14ac:dyDescent="0.3">
      <c r="AE32" s="3" t="s">
        <v>95</v>
      </c>
      <c r="AF32" s="1">
        <v>1381</v>
      </c>
      <c r="AG32" s="1">
        <v>1339</v>
      </c>
      <c r="AH32" s="1">
        <v>1461</v>
      </c>
      <c r="AI32" s="1">
        <v>1238</v>
      </c>
      <c r="AJ32" s="1">
        <v>1176</v>
      </c>
      <c r="AK32" s="1">
        <v>2717</v>
      </c>
      <c r="AL32" s="1">
        <v>1505</v>
      </c>
      <c r="AM32" s="8">
        <v>3021</v>
      </c>
      <c r="AN32" s="8">
        <v>3264</v>
      </c>
      <c r="AO32" s="1">
        <v>4187</v>
      </c>
      <c r="AP32" s="1">
        <v>3898</v>
      </c>
      <c r="AQ32" s="1">
        <v>3347</v>
      </c>
      <c r="AR32" s="33"/>
    </row>
    <row r="33" spans="31:44" x14ac:dyDescent="0.3">
      <c r="AE33" s="3" t="s">
        <v>86</v>
      </c>
      <c r="AF33" s="1">
        <v>113</v>
      </c>
      <c r="AG33" s="1">
        <v>905</v>
      </c>
      <c r="AH33" s="1">
        <v>1717</v>
      </c>
      <c r="AI33" s="1">
        <v>1064</v>
      </c>
      <c r="AJ33" s="1">
        <v>1231</v>
      </c>
      <c r="AK33" s="1">
        <v>1777</v>
      </c>
      <c r="AL33" s="1">
        <v>2235</v>
      </c>
      <c r="AM33" s="8">
        <v>1779</v>
      </c>
      <c r="AN33" s="8">
        <v>2138</v>
      </c>
      <c r="AO33" s="1">
        <v>2187</v>
      </c>
      <c r="AP33" s="1">
        <v>7080</v>
      </c>
      <c r="AQ33" s="1">
        <v>7263</v>
      </c>
      <c r="AR33" s="33"/>
    </row>
    <row r="34" spans="31:44" x14ac:dyDescent="0.3">
      <c r="AE34" s="3" t="s">
        <v>87</v>
      </c>
      <c r="AF34" s="1">
        <v>352</v>
      </c>
      <c r="AG34" s="1">
        <v>507</v>
      </c>
      <c r="AH34" s="1">
        <v>2959</v>
      </c>
      <c r="AI34" s="1">
        <v>4168</v>
      </c>
      <c r="AJ34" s="1">
        <v>5181</v>
      </c>
      <c r="AK34" s="1">
        <v>6918</v>
      </c>
      <c r="AL34" s="1">
        <v>7928</v>
      </c>
      <c r="AM34" s="8">
        <v>6360</v>
      </c>
      <c r="AN34" s="8">
        <v>7207</v>
      </c>
      <c r="AO34" s="1">
        <v>8995</v>
      </c>
      <c r="AP34" s="1">
        <v>11286</v>
      </c>
      <c r="AQ34" s="1">
        <v>13599</v>
      </c>
      <c r="AR34" s="33"/>
    </row>
    <row r="35" spans="31:44" x14ac:dyDescent="0.3">
      <c r="AE35" s="3" t="s">
        <v>88</v>
      </c>
      <c r="AF35" s="1">
        <v>5100</v>
      </c>
      <c r="AG35" s="1">
        <v>6941</v>
      </c>
      <c r="AH35" s="1">
        <v>7055</v>
      </c>
      <c r="AI35" s="1">
        <v>8416</v>
      </c>
      <c r="AJ35" s="1">
        <v>12163</v>
      </c>
      <c r="AK35" s="1">
        <v>15770</v>
      </c>
      <c r="AL35" s="1">
        <v>15349</v>
      </c>
      <c r="AM35" s="8">
        <v>18487</v>
      </c>
      <c r="AN35" s="8">
        <v>17637</v>
      </c>
      <c r="AO35" s="1">
        <v>22621</v>
      </c>
      <c r="AP35" s="1">
        <v>30423</v>
      </c>
      <c r="AQ35" s="1">
        <v>37327</v>
      </c>
      <c r="AR35" s="33"/>
    </row>
    <row r="36" spans="31:44" x14ac:dyDescent="0.3">
      <c r="AE36" s="3" t="s">
        <v>89</v>
      </c>
      <c r="AF36" s="1">
        <v>17524</v>
      </c>
      <c r="AG36" s="1">
        <v>19592</v>
      </c>
      <c r="AH36" s="1">
        <v>22123</v>
      </c>
      <c r="AI36" s="1">
        <v>26609</v>
      </c>
      <c r="AJ36" s="1">
        <v>33383</v>
      </c>
      <c r="AK36" s="1">
        <v>39126</v>
      </c>
      <c r="AL36" s="1">
        <v>38130</v>
      </c>
      <c r="AM36" s="8">
        <v>42058</v>
      </c>
      <c r="AN36" s="8">
        <v>43574</v>
      </c>
      <c r="AO36" s="1">
        <v>54697</v>
      </c>
      <c r="AP36" s="1">
        <v>67595</v>
      </c>
      <c r="AQ36" s="1">
        <v>81546</v>
      </c>
      <c r="AR36" s="33"/>
    </row>
  </sheetData>
  <mergeCells count="6">
    <mergeCell ref="I14:J17"/>
    <mergeCell ref="A14:H17"/>
    <mergeCell ref="K14:M17"/>
    <mergeCell ref="A20:H21"/>
    <mergeCell ref="K20:M21"/>
    <mergeCell ref="I20:J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6C20-B9D3-4F38-9175-0928EA4C0D23}">
  <dimension ref="A3:BI42"/>
  <sheetViews>
    <sheetView topLeftCell="AR1" zoomScale="91" workbookViewId="0">
      <selection activeCell="U35" sqref="U35"/>
    </sheetView>
  </sheetViews>
  <sheetFormatPr defaultRowHeight="14.4" x14ac:dyDescent="0.3"/>
  <cols>
    <col min="25" max="25" width="26.44140625" bestFit="1" customWidth="1"/>
  </cols>
  <sheetData>
    <row r="3" spans="1:61" x14ac:dyDescent="0.3"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/>
    </row>
    <row r="4" spans="1:61" ht="28.8" customHeight="1" x14ac:dyDescent="0.3">
      <c r="A4" s="63"/>
      <c r="B4" s="63"/>
      <c r="C4" s="63"/>
      <c r="D4" s="63"/>
      <c r="E4" s="63"/>
      <c r="F4" s="74"/>
      <c r="G4" s="65" t="s">
        <v>101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79"/>
    </row>
    <row r="5" spans="1:61" x14ac:dyDescent="0.3">
      <c r="A5" s="64"/>
      <c r="B5" s="64"/>
      <c r="C5" s="64"/>
      <c r="D5" s="64"/>
      <c r="E5" s="64"/>
      <c r="F5" s="75"/>
      <c r="G5" s="66" t="s">
        <v>45</v>
      </c>
      <c r="H5" s="67">
        <v>2015</v>
      </c>
      <c r="I5" s="67">
        <v>2016</v>
      </c>
      <c r="J5" s="67">
        <v>2017</v>
      </c>
      <c r="K5" s="67">
        <v>2018</v>
      </c>
      <c r="L5" s="67">
        <v>2019</v>
      </c>
      <c r="M5" s="67">
        <v>2020</v>
      </c>
      <c r="N5" s="67">
        <v>2021</v>
      </c>
      <c r="O5" s="67">
        <v>2022</v>
      </c>
      <c r="P5" s="67">
        <v>2023</v>
      </c>
      <c r="Q5" s="67">
        <v>2024</v>
      </c>
      <c r="R5" s="79"/>
    </row>
    <row r="6" spans="1:61" x14ac:dyDescent="0.3">
      <c r="A6" s="64"/>
      <c r="B6" s="64"/>
      <c r="C6" s="64"/>
      <c r="D6" s="64"/>
      <c r="E6" s="64"/>
      <c r="F6" s="75"/>
      <c r="G6" s="66" t="s">
        <v>98</v>
      </c>
      <c r="H6" s="67">
        <v>-2.65</v>
      </c>
      <c r="I6" s="67">
        <v>-2.72</v>
      </c>
      <c r="J6" s="67">
        <v>-2.68</v>
      </c>
      <c r="K6" s="67">
        <v>-2.5499999999999998</v>
      </c>
      <c r="L6" s="67">
        <v>-2.48</v>
      </c>
      <c r="M6" s="67">
        <v>-2.4500000000000002</v>
      </c>
      <c r="N6" s="67">
        <v>-2.6</v>
      </c>
      <c r="O6" s="67">
        <v>-2.7</v>
      </c>
      <c r="P6" s="67">
        <v>-2.78</v>
      </c>
      <c r="Q6" s="67">
        <v>-2.82</v>
      </c>
      <c r="R6" s="79"/>
    </row>
    <row r="7" spans="1:61" x14ac:dyDescent="0.3">
      <c r="A7" s="64"/>
      <c r="B7" s="64"/>
      <c r="C7" s="64"/>
      <c r="D7" s="64"/>
      <c r="E7" s="64"/>
      <c r="F7" s="75"/>
      <c r="G7" s="66" t="s">
        <v>99</v>
      </c>
      <c r="H7" s="67">
        <v>3.8</v>
      </c>
      <c r="I7" s="67">
        <v>3.9</v>
      </c>
      <c r="J7" s="67">
        <v>4</v>
      </c>
      <c r="K7" s="67">
        <v>3.6</v>
      </c>
      <c r="L7" s="67">
        <v>3.4</v>
      </c>
      <c r="M7" s="67">
        <v>3.2</v>
      </c>
      <c r="N7" s="67">
        <v>3.5</v>
      </c>
      <c r="O7" s="67">
        <v>3.7</v>
      </c>
      <c r="P7" s="67">
        <v>3.9</v>
      </c>
      <c r="Q7" s="67">
        <v>4.0999999999999996</v>
      </c>
      <c r="R7" s="79"/>
    </row>
    <row r="8" spans="1:61" x14ac:dyDescent="0.3">
      <c r="A8" s="64"/>
      <c r="B8" s="64"/>
      <c r="C8" s="64"/>
      <c r="D8" s="64"/>
      <c r="E8" s="64"/>
      <c r="F8" s="75"/>
      <c r="G8" s="66" t="s">
        <v>100</v>
      </c>
      <c r="H8" s="67">
        <v>8</v>
      </c>
      <c r="I8" s="67">
        <v>8</v>
      </c>
      <c r="J8" s="67">
        <v>9</v>
      </c>
      <c r="K8" s="67">
        <v>8</v>
      </c>
      <c r="L8" s="67">
        <v>7</v>
      </c>
      <c r="M8" s="67">
        <v>7</v>
      </c>
      <c r="N8" s="67">
        <v>8</v>
      </c>
      <c r="O8" s="67">
        <v>8</v>
      </c>
      <c r="P8" s="67">
        <v>9</v>
      </c>
      <c r="Q8" s="67">
        <v>9</v>
      </c>
      <c r="R8" s="79"/>
    </row>
    <row r="9" spans="1:61" x14ac:dyDescent="0.3">
      <c r="A9" s="64"/>
      <c r="B9" s="64"/>
      <c r="C9" s="64"/>
      <c r="D9" s="64"/>
      <c r="E9" s="64"/>
      <c r="F9" s="75"/>
      <c r="G9" s="70"/>
      <c r="H9" s="70"/>
      <c r="I9" s="69"/>
      <c r="J9" s="69"/>
      <c r="K9" s="69"/>
      <c r="L9" s="69"/>
      <c r="M9" s="69"/>
      <c r="N9" s="69"/>
      <c r="O9" s="69"/>
      <c r="P9" s="69"/>
      <c r="Q9" s="69"/>
      <c r="R9" s="79"/>
    </row>
    <row r="10" spans="1:61" ht="14.4" customHeight="1" x14ac:dyDescent="0.3">
      <c r="A10" s="64"/>
      <c r="B10" s="64"/>
      <c r="C10" s="64"/>
      <c r="D10" s="64"/>
      <c r="E10" s="64"/>
      <c r="F10" s="75"/>
      <c r="G10" s="65" t="s">
        <v>102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79"/>
      <c r="Y10" s="84" t="s">
        <v>106</v>
      </c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L10" s="84" t="s">
        <v>107</v>
      </c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Y10" s="84" t="s">
        <v>108</v>
      </c>
      <c r="AZ10" s="84"/>
      <c r="BA10" s="84"/>
      <c r="BB10" s="84"/>
      <c r="BC10" s="84"/>
      <c r="BD10" s="84"/>
      <c r="BE10" s="84"/>
      <c r="BF10" s="84"/>
      <c r="BG10" s="84"/>
      <c r="BH10" s="84"/>
      <c r="BI10" s="84"/>
    </row>
    <row r="11" spans="1:61" x14ac:dyDescent="0.3">
      <c r="A11" s="64"/>
      <c r="B11" s="64"/>
      <c r="C11" s="64"/>
      <c r="D11" s="64"/>
      <c r="E11" s="64"/>
      <c r="F11" s="7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79"/>
      <c r="Y11" s="85" t="s">
        <v>45</v>
      </c>
      <c r="Z11" s="85">
        <v>2015</v>
      </c>
      <c r="AA11" s="85">
        <v>2016</v>
      </c>
      <c r="AB11" s="85">
        <v>2017</v>
      </c>
      <c r="AC11" s="85">
        <v>2018</v>
      </c>
      <c r="AD11" s="85">
        <v>2019</v>
      </c>
      <c r="AE11" s="85">
        <v>2020</v>
      </c>
      <c r="AF11" s="85">
        <v>2021</v>
      </c>
      <c r="AG11" s="85">
        <v>2022</v>
      </c>
      <c r="AH11" s="85">
        <v>2023</v>
      </c>
      <c r="AI11" s="85">
        <v>2024</v>
      </c>
      <c r="AL11" s="85" t="s">
        <v>45</v>
      </c>
      <c r="AM11" s="85">
        <v>2015</v>
      </c>
      <c r="AN11" s="85">
        <v>2016</v>
      </c>
      <c r="AO11" s="85">
        <v>2017</v>
      </c>
      <c r="AP11" s="85">
        <v>2018</v>
      </c>
      <c r="AQ11" s="85">
        <v>2019</v>
      </c>
      <c r="AR11" s="85">
        <v>2020</v>
      </c>
      <c r="AS11" s="85">
        <v>2021</v>
      </c>
      <c r="AT11" s="85">
        <v>2022</v>
      </c>
      <c r="AU11" s="85">
        <v>2023</v>
      </c>
      <c r="AV11" s="85">
        <v>2024</v>
      </c>
      <c r="AY11" s="85" t="s">
        <v>45</v>
      </c>
      <c r="AZ11" s="85">
        <v>2015</v>
      </c>
      <c r="BA11" s="85">
        <v>2016</v>
      </c>
      <c r="BB11" s="85">
        <v>2017</v>
      </c>
      <c r="BC11" s="85">
        <v>2018</v>
      </c>
      <c r="BD11" s="85">
        <v>2019</v>
      </c>
      <c r="BE11" s="85">
        <v>2020</v>
      </c>
      <c r="BF11" s="85">
        <v>2021</v>
      </c>
      <c r="BG11" s="85">
        <v>2022</v>
      </c>
      <c r="BH11" s="85">
        <v>2023</v>
      </c>
      <c r="BI11" s="85">
        <v>2024</v>
      </c>
    </row>
    <row r="12" spans="1:61" ht="14.4" customHeight="1" x14ac:dyDescent="0.3">
      <c r="A12" s="64"/>
      <c r="B12" s="64"/>
      <c r="C12" s="64"/>
      <c r="D12" s="64"/>
      <c r="E12" s="64"/>
      <c r="F12" s="75"/>
      <c r="G12" s="66" t="s">
        <v>45</v>
      </c>
      <c r="H12" s="67">
        <v>2015</v>
      </c>
      <c r="I12" s="67">
        <v>2016</v>
      </c>
      <c r="J12" s="67">
        <v>2017</v>
      </c>
      <c r="K12" s="67">
        <v>2018</v>
      </c>
      <c r="L12" s="67">
        <v>2019</v>
      </c>
      <c r="M12" s="67">
        <v>2020</v>
      </c>
      <c r="N12" s="67">
        <v>2021</v>
      </c>
      <c r="O12" s="67">
        <v>2022</v>
      </c>
      <c r="P12" s="67">
        <v>2023</v>
      </c>
      <c r="Q12" s="67">
        <v>2024</v>
      </c>
      <c r="R12" s="79"/>
      <c r="Y12" s="85" t="s">
        <v>101</v>
      </c>
      <c r="Z12" s="67">
        <v>-2.65</v>
      </c>
      <c r="AA12" s="67">
        <v>-2.72</v>
      </c>
      <c r="AB12" s="67">
        <v>-2.68</v>
      </c>
      <c r="AC12" s="67">
        <v>-2.5499999999999998</v>
      </c>
      <c r="AD12" s="67">
        <v>-2.48</v>
      </c>
      <c r="AE12" s="67">
        <v>-2.4500000000000002</v>
      </c>
      <c r="AF12" s="67">
        <v>-2.6</v>
      </c>
      <c r="AG12" s="67">
        <v>-2.7</v>
      </c>
      <c r="AH12" s="67">
        <v>-2.78</v>
      </c>
      <c r="AI12" s="67">
        <v>-2.82</v>
      </c>
      <c r="AL12" s="85" t="s">
        <v>101</v>
      </c>
      <c r="AM12" s="67">
        <f>H7</f>
        <v>3.8</v>
      </c>
      <c r="AN12" s="67">
        <f t="shared" ref="AN12:AV12" si="0">I7</f>
        <v>3.9</v>
      </c>
      <c r="AO12" s="67">
        <f t="shared" si="0"/>
        <v>4</v>
      </c>
      <c r="AP12" s="67">
        <f t="shared" si="0"/>
        <v>3.6</v>
      </c>
      <c r="AQ12" s="67">
        <f t="shared" si="0"/>
        <v>3.4</v>
      </c>
      <c r="AR12" s="67">
        <f t="shared" si="0"/>
        <v>3.2</v>
      </c>
      <c r="AS12" s="67">
        <f t="shared" si="0"/>
        <v>3.5</v>
      </c>
      <c r="AT12" s="67">
        <f t="shared" si="0"/>
        <v>3.7</v>
      </c>
      <c r="AU12" s="67">
        <f t="shared" si="0"/>
        <v>3.9</v>
      </c>
      <c r="AV12" s="67">
        <f t="shared" si="0"/>
        <v>4.0999999999999996</v>
      </c>
      <c r="AY12" s="85" t="s">
        <v>101</v>
      </c>
      <c r="AZ12" s="67">
        <f>H8</f>
        <v>8</v>
      </c>
      <c r="BA12" s="67">
        <f t="shared" ref="BA12:BI12" si="1">I8</f>
        <v>8</v>
      </c>
      <c r="BB12" s="67">
        <f t="shared" si="1"/>
        <v>9</v>
      </c>
      <c r="BC12" s="67">
        <f t="shared" si="1"/>
        <v>8</v>
      </c>
      <c r="BD12" s="67">
        <f t="shared" si="1"/>
        <v>7</v>
      </c>
      <c r="BE12" s="67">
        <f t="shared" si="1"/>
        <v>7</v>
      </c>
      <c r="BF12" s="67">
        <f>9</f>
        <v>9</v>
      </c>
      <c r="BG12" s="67">
        <v>9</v>
      </c>
      <c r="BH12" s="67">
        <f t="shared" si="1"/>
        <v>9</v>
      </c>
      <c r="BI12" s="67">
        <f t="shared" si="1"/>
        <v>9</v>
      </c>
    </row>
    <row r="13" spans="1:61" x14ac:dyDescent="0.3">
      <c r="A13" s="64"/>
      <c r="B13" s="64"/>
      <c r="C13" s="64"/>
      <c r="D13" s="64"/>
      <c r="E13" s="64"/>
      <c r="F13" s="75"/>
      <c r="G13" s="66" t="s">
        <v>98</v>
      </c>
      <c r="H13" s="67">
        <v>-2.1</v>
      </c>
      <c r="I13" s="67">
        <v>-2</v>
      </c>
      <c r="J13" s="67">
        <v>-1.95</v>
      </c>
      <c r="K13" s="67">
        <v>-1.9</v>
      </c>
      <c r="L13" s="67">
        <v>-1.85</v>
      </c>
      <c r="M13" s="67">
        <v>-1.75</v>
      </c>
      <c r="N13" s="67">
        <v>-2.0499999999999998</v>
      </c>
      <c r="O13" s="67">
        <v>-2.2000000000000002</v>
      </c>
      <c r="P13" s="67">
        <v>-2.35</v>
      </c>
      <c r="Q13" s="67">
        <v>-2.4500000000000002</v>
      </c>
      <c r="R13" s="79"/>
      <c r="Y13" s="85" t="s">
        <v>102</v>
      </c>
      <c r="Z13" s="67">
        <v>-2.1</v>
      </c>
      <c r="AA13" s="67">
        <v>-2</v>
      </c>
      <c r="AB13" s="67">
        <v>-1.95</v>
      </c>
      <c r="AC13" s="67">
        <v>-1.9</v>
      </c>
      <c r="AD13" s="67">
        <v>-1.85</v>
      </c>
      <c r="AE13" s="67">
        <v>-1.75</v>
      </c>
      <c r="AF13" s="67">
        <v>-2.0499999999999998</v>
      </c>
      <c r="AG13" s="67">
        <v>-2.2000000000000002</v>
      </c>
      <c r="AH13" s="67">
        <v>-2.35</v>
      </c>
      <c r="AI13" s="67">
        <v>-2.4500000000000002</v>
      </c>
      <c r="AL13" s="85" t="s">
        <v>102</v>
      </c>
      <c r="AM13" s="67">
        <f>H14</f>
        <v>2.1</v>
      </c>
      <c r="AN13" s="67">
        <f t="shared" ref="AN13:AV13" si="2">I14</f>
        <v>2</v>
      </c>
      <c r="AO13" s="67">
        <f t="shared" si="2"/>
        <v>1.9</v>
      </c>
      <c r="AP13" s="67">
        <f t="shared" si="2"/>
        <v>1.8</v>
      </c>
      <c r="AQ13" s="67">
        <f t="shared" si="2"/>
        <v>1.7</v>
      </c>
      <c r="AR13" s="67">
        <f t="shared" si="2"/>
        <v>1.6</v>
      </c>
      <c r="AS13" s="67">
        <f t="shared" si="2"/>
        <v>2.2000000000000002</v>
      </c>
      <c r="AT13" s="67">
        <f t="shared" si="2"/>
        <v>2.6</v>
      </c>
      <c r="AU13" s="67">
        <f t="shared" si="2"/>
        <v>2.9</v>
      </c>
      <c r="AV13" s="67">
        <f t="shared" si="2"/>
        <v>3.1</v>
      </c>
      <c r="AY13" s="85" t="s">
        <v>102</v>
      </c>
      <c r="AZ13" s="67">
        <f>H15</f>
        <v>6</v>
      </c>
      <c r="BA13" s="67">
        <f t="shared" ref="BA13:BI13" si="3">I15</f>
        <v>5</v>
      </c>
      <c r="BB13" s="67">
        <f t="shared" si="3"/>
        <v>5</v>
      </c>
      <c r="BC13" s="67">
        <f t="shared" si="3"/>
        <v>4</v>
      </c>
      <c r="BD13" s="67">
        <f t="shared" si="3"/>
        <v>4</v>
      </c>
      <c r="BE13" s="67">
        <f t="shared" si="3"/>
        <v>4</v>
      </c>
      <c r="BF13" s="67">
        <f t="shared" si="3"/>
        <v>5</v>
      </c>
      <c r="BG13" s="67">
        <f t="shared" si="3"/>
        <v>6</v>
      </c>
      <c r="BH13" s="67">
        <f t="shared" si="3"/>
        <v>6</v>
      </c>
      <c r="BI13" s="67">
        <f t="shared" si="3"/>
        <v>7</v>
      </c>
    </row>
    <row r="14" spans="1:61" x14ac:dyDescent="0.3">
      <c r="A14" s="64"/>
      <c r="B14" s="64"/>
      <c r="C14" s="64"/>
      <c r="D14" s="64"/>
      <c r="E14" s="64"/>
      <c r="F14" s="75"/>
      <c r="G14" s="66" t="s">
        <v>99</v>
      </c>
      <c r="H14" s="67">
        <v>2.1</v>
      </c>
      <c r="I14" s="67">
        <v>2</v>
      </c>
      <c r="J14" s="67">
        <v>1.9</v>
      </c>
      <c r="K14" s="67">
        <v>1.8</v>
      </c>
      <c r="L14" s="67">
        <v>1.7</v>
      </c>
      <c r="M14" s="67">
        <v>1.6</v>
      </c>
      <c r="N14" s="67">
        <v>2.2000000000000002</v>
      </c>
      <c r="O14" s="67">
        <v>2.6</v>
      </c>
      <c r="P14" s="67">
        <v>2.9</v>
      </c>
      <c r="Q14" s="67">
        <v>3.1</v>
      </c>
      <c r="R14" s="79"/>
      <c r="Y14" s="85" t="s">
        <v>103</v>
      </c>
      <c r="Z14" s="67">
        <v>-2.5499999999999998</v>
      </c>
      <c r="AA14" s="67">
        <v>-2.6</v>
      </c>
      <c r="AB14" s="67">
        <v>-2.62</v>
      </c>
      <c r="AC14" s="67">
        <v>-2.58</v>
      </c>
      <c r="AD14" s="67">
        <v>-2.5</v>
      </c>
      <c r="AE14" s="67">
        <v>-2.4</v>
      </c>
      <c r="AF14" s="67">
        <v>-2.5499999999999998</v>
      </c>
      <c r="AG14" s="67">
        <v>-2.65</v>
      </c>
      <c r="AH14" s="67">
        <v>-2.7</v>
      </c>
      <c r="AI14" s="67">
        <v>-2.75</v>
      </c>
      <c r="AL14" s="85" t="s">
        <v>103</v>
      </c>
      <c r="AM14" s="67">
        <f>H21</f>
        <v>3.2</v>
      </c>
      <c r="AN14" s="67">
        <f t="shared" ref="AN14:AV14" si="4">I21</f>
        <v>3.3</v>
      </c>
      <c r="AO14" s="67">
        <f t="shared" si="4"/>
        <v>3.4</v>
      </c>
      <c r="AP14" s="67">
        <f t="shared" si="4"/>
        <v>3.3</v>
      </c>
      <c r="AQ14" s="67">
        <f t="shared" si="4"/>
        <v>3.1</v>
      </c>
      <c r="AR14" s="67">
        <f t="shared" si="4"/>
        <v>2.9</v>
      </c>
      <c r="AS14" s="67">
        <f t="shared" si="4"/>
        <v>3.2</v>
      </c>
      <c r="AT14" s="67">
        <f t="shared" si="4"/>
        <v>3.4</v>
      </c>
      <c r="AU14" s="67">
        <f t="shared" si="4"/>
        <v>3.6</v>
      </c>
      <c r="AV14" s="67">
        <f t="shared" si="4"/>
        <v>3.8</v>
      </c>
      <c r="AY14" s="85" t="s">
        <v>103</v>
      </c>
      <c r="AZ14" s="67">
        <f>H22</f>
        <v>7</v>
      </c>
      <c r="BA14" s="67">
        <f t="shared" ref="BA14:BI14" si="5">I22</f>
        <v>8</v>
      </c>
      <c r="BB14" s="67">
        <f t="shared" si="5"/>
        <v>8</v>
      </c>
      <c r="BC14" s="67">
        <f t="shared" si="5"/>
        <v>7</v>
      </c>
      <c r="BD14" s="67">
        <f t="shared" si="5"/>
        <v>7</v>
      </c>
      <c r="BE14" s="67">
        <f t="shared" si="5"/>
        <v>6</v>
      </c>
      <c r="BF14" s="67">
        <f t="shared" si="5"/>
        <v>7</v>
      </c>
      <c r="BG14" s="67">
        <f t="shared" si="5"/>
        <v>8</v>
      </c>
      <c r="BH14" s="67">
        <f t="shared" si="5"/>
        <v>8</v>
      </c>
      <c r="BI14" s="67">
        <f t="shared" si="5"/>
        <v>9</v>
      </c>
    </row>
    <row r="15" spans="1:61" x14ac:dyDescent="0.3">
      <c r="F15" s="73"/>
      <c r="G15" s="66" t="s">
        <v>100</v>
      </c>
      <c r="H15" s="67">
        <v>6</v>
      </c>
      <c r="I15" s="67">
        <v>5</v>
      </c>
      <c r="J15" s="67">
        <v>5</v>
      </c>
      <c r="K15" s="67">
        <v>4</v>
      </c>
      <c r="L15" s="67">
        <v>4</v>
      </c>
      <c r="M15" s="67">
        <v>4</v>
      </c>
      <c r="N15" s="67">
        <v>5</v>
      </c>
      <c r="O15" s="67">
        <v>6</v>
      </c>
      <c r="P15" s="67">
        <v>6</v>
      </c>
      <c r="Q15" s="67">
        <v>7</v>
      </c>
      <c r="R15" s="79"/>
      <c r="Y15" s="85" t="s">
        <v>104</v>
      </c>
      <c r="Z15" s="67">
        <v>-2.2999999999999998</v>
      </c>
      <c r="AA15" s="67">
        <v>-2.25</v>
      </c>
      <c r="AB15" s="67">
        <v>-2.2000000000000002</v>
      </c>
      <c r="AC15" s="67">
        <v>-2.15</v>
      </c>
      <c r="AD15" s="67">
        <v>-2.1</v>
      </c>
      <c r="AE15" s="67">
        <v>-1.95</v>
      </c>
      <c r="AF15" s="67">
        <v>-2.0499999999999998</v>
      </c>
      <c r="AG15" s="67">
        <v>-2.2000000000000002</v>
      </c>
      <c r="AH15" s="67">
        <v>-2.2999999999999998</v>
      </c>
      <c r="AI15" s="67">
        <v>-2.4</v>
      </c>
      <c r="AL15" s="85" t="s">
        <v>104</v>
      </c>
      <c r="AM15" s="67">
        <f>H28</f>
        <v>2.4</v>
      </c>
      <c r="AN15" s="67">
        <f t="shared" ref="AN15:AV15" si="6">I28</f>
        <v>2.2999999999999998</v>
      </c>
      <c r="AO15" s="67">
        <f t="shared" si="6"/>
        <v>2.2000000000000002</v>
      </c>
      <c r="AP15" s="67">
        <f t="shared" si="6"/>
        <v>2.1</v>
      </c>
      <c r="AQ15" s="67">
        <f t="shared" si="6"/>
        <v>2</v>
      </c>
      <c r="AR15" s="67">
        <f t="shared" si="6"/>
        <v>1.8</v>
      </c>
      <c r="AS15" s="67">
        <f t="shared" si="6"/>
        <v>2.2000000000000002</v>
      </c>
      <c r="AT15" s="67">
        <f t="shared" si="6"/>
        <v>2.5</v>
      </c>
      <c r="AU15" s="67">
        <f t="shared" si="6"/>
        <v>2.7</v>
      </c>
      <c r="AV15" s="67">
        <f t="shared" si="6"/>
        <v>2.9</v>
      </c>
      <c r="AY15" s="85" t="s">
        <v>104</v>
      </c>
      <c r="AZ15" s="67">
        <f>H29</f>
        <v>6</v>
      </c>
      <c r="BA15" s="67">
        <f t="shared" ref="BA15:BI15" si="7">I29</f>
        <v>6</v>
      </c>
      <c r="BB15" s="67">
        <f t="shared" si="7"/>
        <v>6</v>
      </c>
      <c r="BC15" s="67">
        <f t="shared" si="7"/>
        <v>5</v>
      </c>
      <c r="BD15" s="67">
        <f t="shared" si="7"/>
        <v>5</v>
      </c>
      <c r="BE15" s="67">
        <f t="shared" si="7"/>
        <v>4</v>
      </c>
      <c r="BF15" s="67">
        <f t="shared" si="7"/>
        <v>5</v>
      </c>
      <c r="BG15" s="67">
        <f t="shared" si="7"/>
        <v>6</v>
      </c>
      <c r="BH15" s="67">
        <f t="shared" si="7"/>
        <v>6</v>
      </c>
      <c r="BI15" s="67">
        <f t="shared" si="7"/>
        <v>7</v>
      </c>
    </row>
    <row r="16" spans="1:61" x14ac:dyDescent="0.3">
      <c r="F16" s="73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9"/>
      <c r="Y16" s="85" t="s">
        <v>105</v>
      </c>
      <c r="Z16" s="67">
        <v>-2.9</v>
      </c>
      <c r="AA16" s="67">
        <v>-3</v>
      </c>
      <c r="AB16" s="67">
        <v>-3.1</v>
      </c>
      <c r="AC16" s="67">
        <v>-2.9</v>
      </c>
      <c r="AD16" s="67">
        <v>-2.7</v>
      </c>
      <c r="AE16" s="67">
        <v>-2.6</v>
      </c>
      <c r="AF16" s="67">
        <v>-2.7</v>
      </c>
      <c r="AG16" s="67">
        <v>-2.8</v>
      </c>
      <c r="AH16" s="67">
        <v>-2.9</v>
      </c>
      <c r="AI16" s="67">
        <v>-3</v>
      </c>
      <c r="AL16" s="85" t="s">
        <v>105</v>
      </c>
      <c r="AM16" s="67">
        <f>H35</f>
        <v>3.8</v>
      </c>
      <c r="AN16" s="67">
        <f t="shared" ref="AN16:AV16" si="8">I35</f>
        <v>4</v>
      </c>
      <c r="AO16" s="67">
        <f t="shared" si="8"/>
        <v>4.0999999999999996</v>
      </c>
      <c r="AP16" s="67">
        <f t="shared" si="8"/>
        <v>3.7</v>
      </c>
      <c r="AQ16" s="67">
        <f t="shared" si="8"/>
        <v>3.4</v>
      </c>
      <c r="AR16" s="67">
        <f t="shared" si="8"/>
        <v>3.2</v>
      </c>
      <c r="AS16" s="67">
        <f t="shared" si="8"/>
        <v>3.5</v>
      </c>
      <c r="AT16" s="67">
        <f t="shared" si="8"/>
        <v>3.7</v>
      </c>
      <c r="AU16" s="67">
        <f t="shared" si="8"/>
        <v>4</v>
      </c>
      <c r="AV16" s="67">
        <f t="shared" si="8"/>
        <v>4.2</v>
      </c>
      <c r="AY16" s="85" t="s">
        <v>105</v>
      </c>
      <c r="AZ16" s="67">
        <f>H36</f>
        <v>8</v>
      </c>
      <c r="BA16" s="67">
        <f t="shared" ref="BA16:BI16" si="9">I36</f>
        <v>8</v>
      </c>
      <c r="BB16" s="67">
        <f t="shared" si="9"/>
        <v>9</v>
      </c>
      <c r="BC16" s="67">
        <f t="shared" si="9"/>
        <v>8</v>
      </c>
      <c r="BD16" s="67">
        <f t="shared" si="9"/>
        <v>7</v>
      </c>
      <c r="BE16" s="67">
        <f t="shared" si="9"/>
        <v>7</v>
      </c>
      <c r="BF16" s="67">
        <f t="shared" si="9"/>
        <v>8</v>
      </c>
      <c r="BG16" s="67">
        <f t="shared" si="9"/>
        <v>8</v>
      </c>
      <c r="BH16" s="67">
        <v>8</v>
      </c>
      <c r="BI16" s="67">
        <v>8</v>
      </c>
    </row>
    <row r="17" spans="6:18" x14ac:dyDescent="0.3">
      <c r="F17" s="73"/>
      <c r="G17" s="65" t="s">
        <v>103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9"/>
    </row>
    <row r="18" spans="6:18" ht="14.4" customHeight="1" x14ac:dyDescent="0.3">
      <c r="F18" s="73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79"/>
    </row>
    <row r="19" spans="6:18" x14ac:dyDescent="0.3">
      <c r="F19" s="73"/>
      <c r="G19" s="66" t="s">
        <v>45</v>
      </c>
      <c r="H19" s="67">
        <v>2015</v>
      </c>
      <c r="I19" s="67">
        <v>2016</v>
      </c>
      <c r="J19" s="67">
        <v>2017</v>
      </c>
      <c r="K19" s="67">
        <v>2018</v>
      </c>
      <c r="L19" s="67">
        <v>2019</v>
      </c>
      <c r="M19" s="67">
        <v>2020</v>
      </c>
      <c r="N19" s="67">
        <v>2021</v>
      </c>
      <c r="O19" s="67">
        <v>2022</v>
      </c>
      <c r="P19" s="67">
        <v>2023</v>
      </c>
      <c r="Q19" s="67">
        <v>2024</v>
      </c>
      <c r="R19" s="79"/>
    </row>
    <row r="20" spans="6:18" x14ac:dyDescent="0.3">
      <c r="F20" s="73"/>
      <c r="G20" s="66" t="s">
        <v>98</v>
      </c>
      <c r="H20" s="67">
        <v>-2.5499999999999998</v>
      </c>
      <c r="I20" s="67">
        <v>-2.6</v>
      </c>
      <c r="J20" s="67">
        <v>-2.62</v>
      </c>
      <c r="K20" s="67">
        <v>-2.58</v>
      </c>
      <c r="L20" s="67">
        <v>-2.5</v>
      </c>
      <c r="M20" s="67">
        <v>-2.4</v>
      </c>
      <c r="N20" s="67">
        <v>-2.5499999999999998</v>
      </c>
      <c r="O20" s="67">
        <v>-2.65</v>
      </c>
      <c r="P20" s="67">
        <v>-2.7</v>
      </c>
      <c r="Q20" s="67">
        <v>-2.75</v>
      </c>
      <c r="R20" s="79"/>
    </row>
    <row r="21" spans="6:18" x14ac:dyDescent="0.3">
      <c r="F21" s="73"/>
      <c r="G21" s="66" t="s">
        <v>99</v>
      </c>
      <c r="H21" s="67">
        <v>3.2</v>
      </c>
      <c r="I21" s="67">
        <v>3.3</v>
      </c>
      <c r="J21" s="67">
        <v>3.4</v>
      </c>
      <c r="K21" s="67">
        <v>3.3</v>
      </c>
      <c r="L21" s="67">
        <v>3.1</v>
      </c>
      <c r="M21" s="67">
        <v>2.9</v>
      </c>
      <c r="N21" s="67">
        <v>3.2</v>
      </c>
      <c r="O21" s="67">
        <v>3.4</v>
      </c>
      <c r="P21" s="67">
        <v>3.6</v>
      </c>
      <c r="Q21" s="67">
        <v>3.8</v>
      </c>
      <c r="R21" s="79"/>
    </row>
    <row r="22" spans="6:18" x14ac:dyDescent="0.3">
      <c r="F22" s="73"/>
      <c r="G22" s="66" t="s">
        <v>100</v>
      </c>
      <c r="H22" s="67">
        <v>7</v>
      </c>
      <c r="I22" s="67">
        <v>8</v>
      </c>
      <c r="J22" s="67">
        <v>8</v>
      </c>
      <c r="K22" s="67">
        <v>7</v>
      </c>
      <c r="L22" s="67">
        <v>7</v>
      </c>
      <c r="M22" s="67">
        <v>6</v>
      </c>
      <c r="N22" s="67">
        <v>7</v>
      </c>
      <c r="O22" s="67">
        <v>8</v>
      </c>
      <c r="P22" s="67">
        <v>8</v>
      </c>
      <c r="Q22" s="67">
        <v>9</v>
      </c>
      <c r="R22" s="79"/>
    </row>
    <row r="23" spans="6:18" x14ac:dyDescent="0.3">
      <c r="F23" s="73"/>
      <c r="G23" s="70"/>
      <c r="H23" s="70"/>
      <c r="I23" s="70"/>
      <c r="J23" s="70"/>
      <c r="K23" s="69"/>
      <c r="L23" s="69"/>
      <c r="M23" s="69"/>
      <c r="N23" s="69"/>
      <c r="O23" s="69"/>
      <c r="P23" s="69"/>
      <c r="Q23" s="69"/>
      <c r="R23" s="79"/>
    </row>
    <row r="24" spans="6:18" x14ac:dyDescent="0.3">
      <c r="F24" s="73"/>
      <c r="G24" s="65" t="s">
        <v>104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79"/>
    </row>
    <row r="25" spans="6:18" x14ac:dyDescent="0.3">
      <c r="F25" s="7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79"/>
    </row>
    <row r="26" spans="6:18" x14ac:dyDescent="0.3">
      <c r="F26" s="73"/>
      <c r="G26" s="66" t="s">
        <v>45</v>
      </c>
      <c r="H26" s="67">
        <v>2015</v>
      </c>
      <c r="I26" s="67">
        <v>2016</v>
      </c>
      <c r="J26" s="67">
        <v>2017</v>
      </c>
      <c r="K26" s="67">
        <v>2018</v>
      </c>
      <c r="L26" s="67">
        <v>2019</v>
      </c>
      <c r="M26" s="67">
        <v>2020</v>
      </c>
      <c r="N26" s="67">
        <v>2021</v>
      </c>
      <c r="O26" s="67">
        <v>2022</v>
      </c>
      <c r="P26" s="67">
        <v>2023</v>
      </c>
      <c r="Q26" s="67">
        <v>2024</v>
      </c>
      <c r="R26" s="79"/>
    </row>
    <row r="27" spans="6:18" x14ac:dyDescent="0.3">
      <c r="F27" s="73"/>
      <c r="G27" s="66" t="s">
        <v>98</v>
      </c>
      <c r="H27" s="67">
        <v>-2.2999999999999998</v>
      </c>
      <c r="I27" s="67">
        <v>-2.25</v>
      </c>
      <c r="J27" s="67">
        <v>-2.2000000000000002</v>
      </c>
      <c r="K27" s="67">
        <v>-2.15</v>
      </c>
      <c r="L27" s="67">
        <v>-2.1</v>
      </c>
      <c r="M27" s="67">
        <v>-1.95</v>
      </c>
      <c r="N27" s="67">
        <v>-2.0499999999999998</v>
      </c>
      <c r="O27" s="67">
        <v>-2.2000000000000002</v>
      </c>
      <c r="P27" s="67">
        <v>-2.2999999999999998</v>
      </c>
      <c r="Q27" s="67">
        <v>-2.4</v>
      </c>
      <c r="R27" s="79"/>
    </row>
    <row r="28" spans="6:18" x14ac:dyDescent="0.3">
      <c r="F28" s="73"/>
      <c r="G28" s="66" t="s">
        <v>99</v>
      </c>
      <c r="H28" s="67">
        <v>2.4</v>
      </c>
      <c r="I28" s="67">
        <v>2.2999999999999998</v>
      </c>
      <c r="J28" s="67">
        <v>2.2000000000000002</v>
      </c>
      <c r="K28" s="67">
        <v>2.1</v>
      </c>
      <c r="L28" s="67">
        <v>2</v>
      </c>
      <c r="M28" s="67">
        <v>1.8</v>
      </c>
      <c r="N28" s="67">
        <v>2.2000000000000002</v>
      </c>
      <c r="O28" s="67">
        <v>2.5</v>
      </c>
      <c r="P28" s="67">
        <v>2.7</v>
      </c>
      <c r="Q28" s="67">
        <v>2.9</v>
      </c>
      <c r="R28" s="79"/>
    </row>
    <row r="29" spans="6:18" x14ac:dyDescent="0.3">
      <c r="F29" s="73"/>
      <c r="G29" s="66" t="s">
        <v>100</v>
      </c>
      <c r="H29" s="67">
        <v>6</v>
      </c>
      <c r="I29" s="67">
        <v>6</v>
      </c>
      <c r="J29" s="67">
        <v>6</v>
      </c>
      <c r="K29" s="67">
        <v>5</v>
      </c>
      <c r="L29" s="67">
        <v>5</v>
      </c>
      <c r="M29" s="67">
        <v>4</v>
      </c>
      <c r="N29" s="67">
        <v>5</v>
      </c>
      <c r="O29" s="67">
        <v>6</v>
      </c>
      <c r="P29" s="67">
        <v>6</v>
      </c>
      <c r="Q29" s="67">
        <v>7</v>
      </c>
      <c r="R29" s="79"/>
    </row>
    <row r="30" spans="6:18" x14ac:dyDescent="0.3">
      <c r="F30" s="73"/>
      <c r="G30" s="70"/>
      <c r="H30" s="70"/>
      <c r="I30" s="70"/>
      <c r="J30" s="70"/>
      <c r="K30" s="69"/>
      <c r="L30" s="69"/>
      <c r="M30" s="69"/>
      <c r="N30" s="69"/>
      <c r="O30" s="69"/>
      <c r="P30" s="69"/>
      <c r="Q30" s="69"/>
      <c r="R30" s="79"/>
    </row>
    <row r="31" spans="6:18" x14ac:dyDescent="0.3">
      <c r="F31" s="73"/>
      <c r="G31" s="65" t="s">
        <v>105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79"/>
    </row>
    <row r="32" spans="6:18" x14ac:dyDescent="0.3">
      <c r="F32" s="7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79"/>
    </row>
    <row r="33" spans="6:18" x14ac:dyDescent="0.3">
      <c r="F33" s="73"/>
      <c r="G33" s="66" t="s">
        <v>45</v>
      </c>
      <c r="H33" s="67">
        <v>2015</v>
      </c>
      <c r="I33" s="67">
        <v>2016</v>
      </c>
      <c r="J33" s="67">
        <v>2017</v>
      </c>
      <c r="K33" s="67">
        <v>2018</v>
      </c>
      <c r="L33" s="67">
        <v>2019</v>
      </c>
      <c r="M33" s="67">
        <v>2020</v>
      </c>
      <c r="N33" s="67">
        <v>2021</v>
      </c>
      <c r="O33" s="67">
        <v>2022</v>
      </c>
      <c r="P33" s="67">
        <v>2023</v>
      </c>
      <c r="Q33" s="67">
        <v>2024</v>
      </c>
      <c r="R33" s="79"/>
    </row>
    <row r="34" spans="6:18" x14ac:dyDescent="0.3">
      <c r="F34" s="73"/>
      <c r="G34" s="66" t="s">
        <v>98</v>
      </c>
      <c r="H34" s="67">
        <v>-2.9</v>
      </c>
      <c r="I34" s="67">
        <v>-3</v>
      </c>
      <c r="J34" s="67">
        <v>-3.1</v>
      </c>
      <c r="K34" s="67">
        <v>-2.9</v>
      </c>
      <c r="L34" s="67">
        <v>-2.7</v>
      </c>
      <c r="M34" s="67">
        <v>-2.6</v>
      </c>
      <c r="N34" s="67">
        <v>-2.7</v>
      </c>
      <c r="O34" s="67">
        <v>-2.8</v>
      </c>
      <c r="P34" s="67">
        <v>-2.9</v>
      </c>
      <c r="Q34" s="67">
        <v>-3</v>
      </c>
      <c r="R34" s="79"/>
    </row>
    <row r="35" spans="6:18" x14ac:dyDescent="0.3">
      <c r="F35" s="73"/>
      <c r="G35" s="66" t="s">
        <v>99</v>
      </c>
      <c r="H35" s="67">
        <v>3.8</v>
      </c>
      <c r="I35" s="67">
        <v>4</v>
      </c>
      <c r="J35" s="67">
        <v>4.0999999999999996</v>
      </c>
      <c r="K35" s="67">
        <v>3.7</v>
      </c>
      <c r="L35" s="67">
        <v>3.4</v>
      </c>
      <c r="M35" s="67">
        <v>3.2</v>
      </c>
      <c r="N35" s="67">
        <v>3.5</v>
      </c>
      <c r="O35" s="67">
        <v>3.7</v>
      </c>
      <c r="P35" s="67">
        <v>4</v>
      </c>
      <c r="Q35" s="67">
        <v>4.2</v>
      </c>
      <c r="R35" s="79"/>
    </row>
    <row r="36" spans="6:18" x14ac:dyDescent="0.3">
      <c r="F36" s="73"/>
      <c r="G36" s="66" t="s">
        <v>100</v>
      </c>
      <c r="H36" s="67">
        <v>8</v>
      </c>
      <c r="I36" s="67">
        <v>8</v>
      </c>
      <c r="J36" s="67">
        <v>9</v>
      </c>
      <c r="K36" s="67">
        <v>8</v>
      </c>
      <c r="L36" s="67">
        <v>7</v>
      </c>
      <c r="M36" s="67">
        <v>7</v>
      </c>
      <c r="N36" s="67">
        <v>8</v>
      </c>
      <c r="O36" s="67">
        <v>8</v>
      </c>
      <c r="P36" s="67">
        <v>9</v>
      </c>
      <c r="Q36" s="67">
        <v>9</v>
      </c>
      <c r="R36" s="79"/>
    </row>
    <row r="37" spans="6:18" x14ac:dyDescent="0.3">
      <c r="F37" s="76"/>
      <c r="G37" s="77"/>
      <c r="H37" s="77"/>
      <c r="I37" s="77"/>
      <c r="J37" s="77"/>
      <c r="K37" s="78"/>
      <c r="L37" s="78"/>
      <c r="M37" s="78"/>
      <c r="N37" s="78"/>
      <c r="O37" s="78"/>
      <c r="P37" s="78"/>
      <c r="Q37" s="78"/>
      <c r="R37" s="80"/>
    </row>
    <row r="38" spans="6:18" x14ac:dyDescent="0.3">
      <c r="G38" s="64"/>
      <c r="H38" s="64"/>
      <c r="I38" s="64"/>
      <c r="J38" s="64"/>
    </row>
    <row r="39" spans="6:18" x14ac:dyDescent="0.3">
      <c r="G39" s="64"/>
      <c r="H39" s="64"/>
      <c r="I39" s="64"/>
      <c r="J39" s="64"/>
    </row>
    <row r="40" spans="6:18" x14ac:dyDescent="0.3">
      <c r="G40" s="64"/>
      <c r="H40" s="64"/>
      <c r="I40" s="64"/>
      <c r="J40" s="64"/>
    </row>
    <row r="41" spans="6:18" x14ac:dyDescent="0.3">
      <c r="G41" s="64"/>
      <c r="H41" s="64"/>
      <c r="I41" s="64"/>
      <c r="J41" s="64"/>
    </row>
    <row r="42" spans="6:18" x14ac:dyDescent="0.3">
      <c r="G42" s="64"/>
      <c r="H42" s="64"/>
      <c r="I42" s="64"/>
      <c r="J42" s="64"/>
    </row>
  </sheetData>
  <mergeCells count="8">
    <mergeCell ref="G31:Q32"/>
    <mergeCell ref="Y10:AI10"/>
    <mergeCell ref="AL10:AV10"/>
    <mergeCell ref="AY10:BI10"/>
    <mergeCell ref="G4:Q4"/>
    <mergeCell ref="G10:Q11"/>
    <mergeCell ref="G17:Q18"/>
    <mergeCell ref="G24:Q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A58D-5B2F-4CDB-8FB5-D8385C21F16C}">
  <sheetPr codeName="Sheet1"/>
  <dimension ref="C2:AT58"/>
  <sheetViews>
    <sheetView zoomScale="64" workbookViewId="0">
      <selection activeCell="W23" sqref="W23"/>
    </sheetView>
  </sheetViews>
  <sheetFormatPr defaultRowHeight="14.4" x14ac:dyDescent="0.3"/>
  <sheetData>
    <row r="2" spans="3:46" x14ac:dyDescent="0.3">
      <c r="E2" s="89" t="s">
        <v>109</v>
      </c>
      <c r="F2" s="87"/>
      <c r="G2" s="87"/>
      <c r="H2" s="87"/>
      <c r="I2" s="87"/>
      <c r="J2" s="87"/>
      <c r="K2" s="87"/>
      <c r="L2" s="87"/>
      <c r="M2" s="87"/>
      <c r="N2" s="87"/>
      <c r="O2" s="87"/>
      <c r="S2" s="89" t="s">
        <v>125</v>
      </c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H2" s="89" t="s">
        <v>129</v>
      </c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</row>
    <row r="3" spans="3:46" x14ac:dyDescent="0.3"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</row>
    <row r="5" spans="3:46" ht="23.4" x14ac:dyDescent="0.45">
      <c r="C5" s="95"/>
      <c r="D5" s="95"/>
      <c r="E5" s="89" t="s">
        <v>114</v>
      </c>
      <c r="F5" s="89"/>
      <c r="G5" s="89"/>
      <c r="H5" s="89"/>
      <c r="I5" s="89"/>
      <c r="J5" s="89"/>
      <c r="K5" s="89"/>
      <c r="L5" s="89"/>
      <c r="M5" s="89"/>
      <c r="N5" s="89"/>
      <c r="O5" s="89"/>
      <c r="P5" s="95"/>
      <c r="Q5" s="95"/>
      <c r="S5" s="99" t="s">
        <v>114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H5" s="89" t="s">
        <v>101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</row>
    <row r="7" spans="3:46" ht="28.8" x14ac:dyDescent="0.3">
      <c r="E7" s="66" t="s">
        <v>45</v>
      </c>
      <c r="F7" s="67">
        <v>2014</v>
      </c>
      <c r="G7" s="67">
        <v>2015</v>
      </c>
      <c r="H7" s="67">
        <v>2016</v>
      </c>
      <c r="I7" s="67">
        <v>2017</v>
      </c>
      <c r="J7" s="67">
        <v>2018</v>
      </c>
      <c r="K7" s="67">
        <v>2019</v>
      </c>
      <c r="L7" s="67">
        <v>2022</v>
      </c>
      <c r="M7" s="67">
        <v>2023</v>
      </c>
      <c r="N7" s="67">
        <v>2024</v>
      </c>
      <c r="O7" s="67">
        <v>2025</v>
      </c>
      <c r="S7" s="66" t="s">
        <v>45</v>
      </c>
      <c r="T7" s="67">
        <v>2014</v>
      </c>
      <c r="U7" s="67">
        <v>2015</v>
      </c>
      <c r="V7" s="67">
        <v>2016</v>
      </c>
      <c r="W7" s="67">
        <v>2017</v>
      </c>
      <c r="X7" s="67">
        <v>2018</v>
      </c>
      <c r="Y7" s="67">
        <v>2019</v>
      </c>
      <c r="Z7" s="67">
        <v>2020</v>
      </c>
      <c r="AA7" s="67">
        <v>2021</v>
      </c>
      <c r="AB7" s="67">
        <v>2022</v>
      </c>
      <c r="AC7" s="67">
        <v>2023</v>
      </c>
      <c r="AD7" s="67">
        <v>2024</v>
      </c>
      <c r="AE7" s="67">
        <v>2025</v>
      </c>
      <c r="AH7" s="66" t="s">
        <v>128</v>
      </c>
      <c r="AI7" s="66">
        <v>2014</v>
      </c>
      <c r="AJ7" s="66">
        <v>2015</v>
      </c>
      <c r="AK7" s="66">
        <v>2016</v>
      </c>
      <c r="AL7" s="66">
        <v>2017</v>
      </c>
      <c r="AM7" s="66">
        <v>2018</v>
      </c>
      <c r="AN7" s="66">
        <v>2019</v>
      </c>
      <c r="AO7" s="66">
        <v>2020</v>
      </c>
      <c r="AP7" s="66">
        <v>2021</v>
      </c>
      <c r="AQ7" s="66">
        <v>2022</v>
      </c>
      <c r="AR7" s="66">
        <v>2023</v>
      </c>
      <c r="AS7" s="66">
        <v>2024</v>
      </c>
      <c r="AT7" s="66">
        <v>2025</v>
      </c>
    </row>
    <row r="8" spans="3:46" ht="28.8" x14ac:dyDescent="0.3">
      <c r="E8" s="66" t="s">
        <v>118</v>
      </c>
      <c r="F8" s="67">
        <v>0.76</v>
      </c>
      <c r="G8" s="67">
        <v>0.75</v>
      </c>
      <c r="H8" s="67">
        <v>0.75</v>
      </c>
      <c r="I8" s="67">
        <v>0.74</v>
      </c>
      <c r="J8" s="67">
        <v>0.74</v>
      </c>
      <c r="K8" s="67">
        <v>0.73</v>
      </c>
      <c r="L8" s="67">
        <v>0.74</v>
      </c>
      <c r="M8" s="67">
        <v>0.74</v>
      </c>
      <c r="N8" s="67">
        <v>0.75</v>
      </c>
      <c r="O8" s="67">
        <v>0.75</v>
      </c>
      <c r="S8" s="66" t="s">
        <v>120</v>
      </c>
      <c r="T8" s="67">
        <v>22</v>
      </c>
      <c r="U8" s="67">
        <v>23</v>
      </c>
      <c r="V8" s="67">
        <v>24</v>
      </c>
      <c r="W8" s="67">
        <v>25</v>
      </c>
      <c r="X8" s="67">
        <v>26</v>
      </c>
      <c r="Y8" s="67">
        <v>27</v>
      </c>
      <c r="Z8" s="67">
        <v>28</v>
      </c>
      <c r="AA8" s="67">
        <v>26</v>
      </c>
      <c r="AB8" s="67">
        <v>25</v>
      </c>
      <c r="AC8" s="67">
        <v>24</v>
      </c>
      <c r="AD8" s="67">
        <v>23</v>
      </c>
      <c r="AE8" s="67">
        <v>23</v>
      </c>
      <c r="AH8" s="68" t="s">
        <v>126</v>
      </c>
      <c r="AI8" s="67">
        <v>1.28</v>
      </c>
      <c r="AJ8" s="67">
        <v>1.29</v>
      </c>
      <c r="AK8" s="67">
        <v>1.29</v>
      </c>
      <c r="AL8" s="67">
        <v>1.3</v>
      </c>
      <c r="AM8" s="67">
        <v>1.3</v>
      </c>
      <c r="AN8" s="67">
        <v>1.29</v>
      </c>
      <c r="AO8" s="67">
        <v>1.24</v>
      </c>
      <c r="AP8" s="67">
        <v>1.26</v>
      </c>
      <c r="AQ8" s="67">
        <v>1.28</v>
      </c>
      <c r="AR8" s="67">
        <v>1.29</v>
      </c>
      <c r="AS8" s="67">
        <v>1.29</v>
      </c>
      <c r="AT8" s="67">
        <v>1.29</v>
      </c>
    </row>
    <row r="9" spans="3:46" ht="28.8" x14ac:dyDescent="0.3">
      <c r="E9" s="66" t="s">
        <v>119</v>
      </c>
      <c r="F9" s="67">
        <v>0.96</v>
      </c>
      <c r="G9" s="67">
        <v>0.96</v>
      </c>
      <c r="H9" s="67">
        <v>0.97</v>
      </c>
      <c r="I9" s="67">
        <v>0.96</v>
      </c>
      <c r="J9" s="67">
        <v>0.96</v>
      </c>
      <c r="K9" s="67">
        <v>0.95</v>
      </c>
      <c r="L9" s="67">
        <v>0.96</v>
      </c>
      <c r="M9" s="67">
        <v>0.96</v>
      </c>
      <c r="N9" s="67">
        <v>0.97</v>
      </c>
      <c r="O9" s="67">
        <v>0.97</v>
      </c>
      <c r="S9" s="66" t="s">
        <v>121</v>
      </c>
      <c r="T9" s="67">
        <v>38</v>
      </c>
      <c r="U9" s="67">
        <v>40</v>
      </c>
      <c r="V9" s="67">
        <v>42</v>
      </c>
      <c r="W9" s="67">
        <v>43</v>
      </c>
      <c r="X9" s="67">
        <v>45</v>
      </c>
      <c r="Y9" s="67">
        <v>46</v>
      </c>
      <c r="Z9" s="67">
        <v>48</v>
      </c>
      <c r="AA9" s="67">
        <v>45</v>
      </c>
      <c r="AB9" s="67">
        <v>44</v>
      </c>
      <c r="AC9" s="67">
        <v>43</v>
      </c>
      <c r="AD9" s="67">
        <v>42</v>
      </c>
      <c r="AE9" s="67">
        <v>41</v>
      </c>
      <c r="AH9" s="68" t="s">
        <v>127</v>
      </c>
      <c r="AI9" s="67">
        <v>0.42</v>
      </c>
      <c r="AJ9" s="67">
        <v>0.44</v>
      </c>
      <c r="AK9" s="67">
        <v>0.46</v>
      </c>
      <c r="AL9" s="67">
        <v>0.48</v>
      </c>
      <c r="AM9" s="67">
        <v>0.5</v>
      </c>
      <c r="AN9" s="67">
        <v>0.49</v>
      </c>
      <c r="AO9" s="67">
        <v>0.46</v>
      </c>
      <c r="AP9" s="67">
        <v>0.47</v>
      </c>
      <c r="AQ9" s="67">
        <v>0.48</v>
      </c>
      <c r="AR9" s="67">
        <v>0.49</v>
      </c>
      <c r="AS9" s="67">
        <v>0.5</v>
      </c>
      <c r="AT9" s="67">
        <v>0.51</v>
      </c>
    </row>
    <row r="10" spans="3:46" ht="28.8" x14ac:dyDescent="0.3">
      <c r="E10" s="66" t="s">
        <v>110</v>
      </c>
      <c r="F10" s="67">
        <v>0.12</v>
      </c>
      <c r="G10" s="67">
        <v>0.13</v>
      </c>
      <c r="H10" s="67">
        <v>0.14000000000000001</v>
      </c>
      <c r="I10" s="67">
        <v>0.15</v>
      </c>
      <c r="J10" s="67">
        <v>0.15</v>
      </c>
      <c r="K10" s="67">
        <v>0.14000000000000001</v>
      </c>
      <c r="L10" s="67">
        <v>0.13</v>
      </c>
      <c r="M10" s="67">
        <v>0.14000000000000001</v>
      </c>
      <c r="N10" s="67">
        <v>0.14000000000000001</v>
      </c>
      <c r="O10" s="67">
        <v>0.14000000000000001</v>
      </c>
      <c r="S10" s="66" t="s">
        <v>122</v>
      </c>
      <c r="T10" s="67">
        <v>45</v>
      </c>
      <c r="U10" s="67">
        <v>47</v>
      </c>
      <c r="V10" s="67">
        <v>48</v>
      </c>
      <c r="W10" s="67">
        <v>50</v>
      </c>
      <c r="X10" s="67">
        <v>52</v>
      </c>
      <c r="Y10" s="67">
        <v>54</v>
      </c>
      <c r="Z10" s="67">
        <v>56</v>
      </c>
      <c r="AA10" s="67">
        <v>54</v>
      </c>
      <c r="AB10" s="67">
        <v>53</v>
      </c>
      <c r="AC10" s="67">
        <v>52</v>
      </c>
      <c r="AD10" s="67">
        <v>51</v>
      </c>
      <c r="AE10" s="67">
        <v>50</v>
      </c>
    </row>
    <row r="11" spans="3:46" ht="28.8" x14ac:dyDescent="0.3">
      <c r="E11" s="66" t="s">
        <v>111</v>
      </c>
      <c r="F11" s="67">
        <v>0.9</v>
      </c>
      <c r="G11" s="67">
        <v>0.89</v>
      </c>
      <c r="H11" s="67">
        <v>0.88</v>
      </c>
      <c r="I11" s="67">
        <v>0.87</v>
      </c>
      <c r="J11" s="67">
        <v>0.86</v>
      </c>
      <c r="K11" s="67">
        <v>0.85</v>
      </c>
      <c r="L11" s="67">
        <v>0.85</v>
      </c>
      <c r="M11" s="67">
        <v>0.86</v>
      </c>
      <c r="N11" s="67">
        <v>0.87</v>
      </c>
      <c r="O11" s="67">
        <v>0.87</v>
      </c>
      <c r="S11" s="66" t="s">
        <v>123</v>
      </c>
      <c r="T11" s="68">
        <v>15</v>
      </c>
      <c r="U11" s="68">
        <v>16</v>
      </c>
      <c r="V11" s="68">
        <v>18</v>
      </c>
      <c r="W11" s="68">
        <v>18</v>
      </c>
      <c r="X11" s="68">
        <v>19</v>
      </c>
      <c r="Y11" s="68">
        <v>19</v>
      </c>
      <c r="Z11" s="68">
        <v>20</v>
      </c>
      <c r="AA11" s="68">
        <v>17</v>
      </c>
      <c r="AB11" s="68">
        <v>16</v>
      </c>
      <c r="AC11" s="68">
        <v>15</v>
      </c>
      <c r="AD11" s="68">
        <v>14</v>
      </c>
      <c r="AE11" s="68">
        <v>14</v>
      </c>
    </row>
    <row r="12" spans="3:46" ht="28.8" x14ac:dyDescent="0.3">
      <c r="E12" s="66" t="s">
        <v>112</v>
      </c>
      <c r="F12" s="67">
        <v>1.3</v>
      </c>
      <c r="G12" s="67">
        <v>1.29</v>
      </c>
      <c r="H12" s="67">
        <v>1.28</v>
      </c>
      <c r="I12" s="67">
        <v>1.27</v>
      </c>
      <c r="J12" s="67">
        <v>1.26</v>
      </c>
      <c r="K12" s="67">
        <v>1.25</v>
      </c>
      <c r="L12" s="67">
        <v>1.27</v>
      </c>
      <c r="M12" s="67">
        <v>1.27</v>
      </c>
      <c r="N12" s="67">
        <v>1.28</v>
      </c>
      <c r="O12" s="67">
        <v>1.28</v>
      </c>
    </row>
    <row r="13" spans="3:46" ht="23.4" x14ac:dyDescent="0.3">
      <c r="E13" s="66" t="s">
        <v>113</v>
      </c>
      <c r="F13" s="68">
        <v>10.199999999999999</v>
      </c>
      <c r="G13" s="68">
        <v>10.6</v>
      </c>
      <c r="H13" s="68">
        <v>11.5</v>
      </c>
      <c r="I13" s="68">
        <v>12</v>
      </c>
      <c r="J13" s="68">
        <v>11.9</v>
      </c>
      <c r="K13" s="68">
        <v>11</v>
      </c>
      <c r="L13" s="68">
        <v>10</v>
      </c>
      <c r="M13" s="68">
        <v>11.3</v>
      </c>
      <c r="N13" s="68">
        <v>11.7</v>
      </c>
      <c r="O13" s="68">
        <v>11.8</v>
      </c>
      <c r="AH13" s="88"/>
    </row>
    <row r="15" spans="3:46" ht="18" x14ac:dyDescent="0.3">
      <c r="AH15" s="101"/>
    </row>
    <row r="16" spans="3:46" ht="23.4" x14ac:dyDescent="0.45">
      <c r="E16" s="89" t="s">
        <v>115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S16" s="99" t="s">
        <v>115</v>
      </c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H16" s="99" t="s">
        <v>115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</row>
    <row r="18" spans="5:46" ht="28.8" x14ac:dyDescent="0.3">
      <c r="E18" s="66" t="s">
        <v>45</v>
      </c>
      <c r="F18" s="67">
        <v>2014</v>
      </c>
      <c r="G18" s="67">
        <v>2015</v>
      </c>
      <c r="H18" s="67">
        <v>2016</v>
      </c>
      <c r="I18" s="67">
        <v>2017</v>
      </c>
      <c r="J18" s="67">
        <v>2018</v>
      </c>
      <c r="K18" s="67">
        <v>2019</v>
      </c>
      <c r="L18" s="67">
        <v>2022</v>
      </c>
      <c r="M18" s="67">
        <v>2023</v>
      </c>
      <c r="N18" s="67">
        <v>2024</v>
      </c>
      <c r="O18" s="67">
        <v>2025</v>
      </c>
      <c r="S18" s="66" t="s">
        <v>45</v>
      </c>
      <c r="T18" s="67">
        <v>2014</v>
      </c>
      <c r="U18" s="67">
        <v>2015</v>
      </c>
      <c r="V18" s="67">
        <v>2016</v>
      </c>
      <c r="W18" s="67">
        <v>2017</v>
      </c>
      <c r="X18" s="67">
        <v>2018</v>
      </c>
      <c r="Y18" s="67">
        <v>2019</v>
      </c>
      <c r="Z18" s="67">
        <v>2020</v>
      </c>
      <c r="AA18" s="67">
        <v>2021</v>
      </c>
      <c r="AB18" s="67">
        <v>2022</v>
      </c>
      <c r="AC18" s="67">
        <v>2023</v>
      </c>
      <c r="AD18" s="67">
        <v>2024</v>
      </c>
      <c r="AE18" s="67">
        <v>2025</v>
      </c>
      <c r="AH18" s="66" t="s">
        <v>128</v>
      </c>
      <c r="AI18" s="66">
        <v>2014</v>
      </c>
      <c r="AJ18" s="66">
        <v>2015</v>
      </c>
      <c r="AK18" s="66">
        <v>2016</v>
      </c>
      <c r="AL18" s="66">
        <v>2017</v>
      </c>
      <c r="AM18" s="66">
        <v>2018</v>
      </c>
      <c r="AN18" s="66">
        <v>2019</v>
      </c>
      <c r="AO18" s="66">
        <v>2020</v>
      </c>
      <c r="AP18" s="66">
        <v>2021</v>
      </c>
      <c r="AQ18" s="66">
        <v>2022</v>
      </c>
      <c r="AR18" s="66">
        <v>2023</v>
      </c>
      <c r="AS18" s="66">
        <v>2024</v>
      </c>
      <c r="AT18" s="66">
        <v>2025</v>
      </c>
    </row>
    <row r="19" spans="5:46" ht="28.8" x14ac:dyDescent="0.3">
      <c r="E19" s="66" t="s">
        <v>118</v>
      </c>
      <c r="F19" s="67">
        <v>0.78</v>
      </c>
      <c r="G19" s="67">
        <v>0.77</v>
      </c>
      <c r="H19" s="67">
        <v>0.77</v>
      </c>
      <c r="I19" s="67">
        <v>0.76</v>
      </c>
      <c r="J19" s="67">
        <v>0.76</v>
      </c>
      <c r="K19" s="67">
        <v>0.75</v>
      </c>
      <c r="L19" s="67">
        <v>0.77</v>
      </c>
      <c r="M19" s="67">
        <v>0.78</v>
      </c>
      <c r="N19" s="67">
        <v>0.78</v>
      </c>
      <c r="O19" s="67">
        <v>0.78</v>
      </c>
      <c r="S19" s="66" t="s">
        <v>120</v>
      </c>
      <c r="T19" s="67">
        <v>28</v>
      </c>
      <c r="U19" s="67">
        <v>29</v>
      </c>
      <c r="V19" s="67">
        <v>30</v>
      </c>
      <c r="W19" s="67">
        <v>31</v>
      </c>
      <c r="X19" s="67">
        <v>32</v>
      </c>
      <c r="Y19" s="67">
        <v>33</v>
      </c>
      <c r="Z19" s="67">
        <v>34</v>
      </c>
      <c r="AA19" s="67">
        <v>32</v>
      </c>
      <c r="AB19" s="67">
        <v>31</v>
      </c>
      <c r="AC19" s="67">
        <v>30</v>
      </c>
      <c r="AD19" s="67">
        <v>29</v>
      </c>
      <c r="AE19" s="67">
        <v>28</v>
      </c>
      <c r="AH19" s="68" t="s">
        <v>126</v>
      </c>
      <c r="AI19" s="67">
        <v>1.36</v>
      </c>
      <c r="AJ19" s="67">
        <v>1.38</v>
      </c>
      <c r="AK19" s="67">
        <v>1.42</v>
      </c>
      <c r="AL19" s="67">
        <v>1.44</v>
      </c>
      <c r="AM19" s="67">
        <v>1.45</v>
      </c>
      <c r="AN19" s="67">
        <v>1.44</v>
      </c>
      <c r="AO19" s="67">
        <v>1.41</v>
      </c>
      <c r="AP19" s="67">
        <v>1.42</v>
      </c>
      <c r="AQ19" s="67">
        <v>1.43</v>
      </c>
      <c r="AR19" s="67">
        <v>1.43</v>
      </c>
      <c r="AS19" s="67">
        <v>1.43</v>
      </c>
      <c r="AT19" s="67">
        <v>1.43</v>
      </c>
    </row>
    <row r="20" spans="5:46" ht="28.8" x14ac:dyDescent="0.3">
      <c r="E20" s="66" t="s">
        <v>119</v>
      </c>
      <c r="F20" s="67">
        <v>0.99</v>
      </c>
      <c r="G20" s="67">
        <v>0.99</v>
      </c>
      <c r="H20" s="67">
        <v>0.99</v>
      </c>
      <c r="I20" s="67">
        <v>0.98</v>
      </c>
      <c r="J20" s="67">
        <v>0.98</v>
      </c>
      <c r="K20" s="67">
        <v>0.97</v>
      </c>
      <c r="L20" s="67">
        <v>0.98</v>
      </c>
      <c r="M20" s="67">
        <v>0.99</v>
      </c>
      <c r="N20" s="67">
        <v>0.99</v>
      </c>
      <c r="O20" s="67">
        <v>0.99</v>
      </c>
      <c r="S20" s="66" t="s">
        <v>121</v>
      </c>
      <c r="T20" s="67">
        <v>55</v>
      </c>
      <c r="U20" s="67">
        <v>56</v>
      </c>
      <c r="V20" s="67">
        <v>58</v>
      </c>
      <c r="W20" s="67">
        <v>60</v>
      </c>
      <c r="X20" s="67">
        <v>62</v>
      </c>
      <c r="Y20" s="67">
        <v>63</v>
      </c>
      <c r="Z20" s="67">
        <v>60</v>
      </c>
      <c r="AA20" s="67">
        <v>58</v>
      </c>
      <c r="AB20" s="67">
        <v>57</v>
      </c>
      <c r="AC20" s="67">
        <v>56</v>
      </c>
      <c r="AD20" s="67">
        <v>55</v>
      </c>
      <c r="AE20" s="67">
        <v>54</v>
      </c>
      <c r="AH20" s="68" t="s">
        <v>127</v>
      </c>
      <c r="AI20" s="67">
        <v>0.55000000000000004</v>
      </c>
      <c r="AJ20" s="67">
        <v>0.56000000000000005</v>
      </c>
      <c r="AK20" s="67">
        <v>0.57999999999999996</v>
      </c>
      <c r="AL20" s="67">
        <v>0.59</v>
      </c>
      <c r="AM20" s="67">
        <v>0.6</v>
      </c>
      <c r="AN20" s="67">
        <v>0.57999999999999996</v>
      </c>
      <c r="AO20" s="67">
        <v>0.56999999999999995</v>
      </c>
      <c r="AP20" s="67">
        <v>0.57999999999999996</v>
      </c>
      <c r="AQ20" s="67">
        <v>0.59</v>
      </c>
      <c r="AR20" s="67">
        <v>0.6</v>
      </c>
      <c r="AS20" s="67">
        <v>0.61</v>
      </c>
      <c r="AT20" s="67">
        <v>0.62</v>
      </c>
    </row>
    <row r="21" spans="5:46" ht="28.8" x14ac:dyDescent="0.3">
      <c r="E21" s="66" t="s">
        <v>110</v>
      </c>
      <c r="F21" s="67">
        <v>0.2</v>
      </c>
      <c r="G21" s="67">
        <v>0.22</v>
      </c>
      <c r="H21" s="67">
        <v>0.23</v>
      </c>
      <c r="I21" s="67">
        <v>0.24</v>
      </c>
      <c r="J21" s="67">
        <v>0.24</v>
      </c>
      <c r="K21" s="67">
        <v>0.23</v>
      </c>
      <c r="L21" s="67">
        <v>0.22</v>
      </c>
      <c r="M21" s="67">
        <v>0.24</v>
      </c>
      <c r="N21" s="67">
        <v>0.25</v>
      </c>
      <c r="O21" s="67">
        <v>0.25</v>
      </c>
      <c r="S21" s="66" t="s">
        <v>122</v>
      </c>
      <c r="T21" s="67">
        <v>45</v>
      </c>
      <c r="U21" s="67">
        <v>46</v>
      </c>
      <c r="V21" s="67">
        <v>47</v>
      </c>
      <c r="W21" s="67">
        <v>48</v>
      </c>
      <c r="X21" s="67">
        <v>50</v>
      </c>
      <c r="Y21" s="67">
        <v>52</v>
      </c>
      <c r="Z21" s="67">
        <v>53</v>
      </c>
      <c r="AA21" s="67">
        <v>52</v>
      </c>
      <c r="AB21" s="67">
        <v>51</v>
      </c>
      <c r="AC21" s="67">
        <v>50</v>
      </c>
      <c r="AD21" s="67">
        <v>49</v>
      </c>
      <c r="AE21" s="67">
        <v>48</v>
      </c>
      <c r="AH21" s="101"/>
    </row>
    <row r="22" spans="5:46" x14ac:dyDescent="0.3">
      <c r="E22" s="66" t="s">
        <v>111</v>
      </c>
      <c r="F22" s="67">
        <v>0.6</v>
      </c>
      <c r="G22" s="67">
        <v>0.59</v>
      </c>
      <c r="H22" s="67">
        <v>0.57999999999999996</v>
      </c>
      <c r="I22" s="67">
        <v>0.56999999999999995</v>
      </c>
      <c r="J22" s="67">
        <v>0.56000000000000005</v>
      </c>
      <c r="K22" s="67">
        <v>0.55000000000000004</v>
      </c>
      <c r="L22" s="67">
        <v>0.55000000000000004</v>
      </c>
      <c r="M22" s="67">
        <v>0.56000000000000005</v>
      </c>
      <c r="N22" s="67">
        <v>0.56999999999999995</v>
      </c>
      <c r="O22" s="67">
        <v>0.56999999999999995</v>
      </c>
      <c r="S22" s="66" t="s">
        <v>124</v>
      </c>
      <c r="T22" s="68">
        <v>38</v>
      </c>
      <c r="U22" s="68">
        <v>39</v>
      </c>
      <c r="V22" s="68">
        <v>41</v>
      </c>
      <c r="W22" s="68">
        <v>43</v>
      </c>
      <c r="X22" s="68">
        <v>44</v>
      </c>
      <c r="Y22" s="68">
        <v>44</v>
      </c>
      <c r="Z22" s="68">
        <v>41</v>
      </c>
      <c r="AA22" s="68">
        <v>38</v>
      </c>
      <c r="AB22" s="68">
        <v>37</v>
      </c>
      <c r="AC22" s="68">
        <v>36</v>
      </c>
      <c r="AD22" s="68">
        <v>35</v>
      </c>
      <c r="AE22" s="68">
        <v>34</v>
      </c>
    </row>
    <row r="23" spans="5:46" ht="28.8" x14ac:dyDescent="0.3">
      <c r="E23" s="66" t="s">
        <v>112</v>
      </c>
      <c r="F23" s="67">
        <v>1.2</v>
      </c>
      <c r="G23" s="67">
        <v>1.19</v>
      </c>
      <c r="H23" s="67">
        <v>1.18</v>
      </c>
      <c r="I23" s="67">
        <v>1.17</v>
      </c>
      <c r="J23" s="67">
        <v>1.1599999999999999</v>
      </c>
      <c r="K23" s="67">
        <v>1.1499999999999999</v>
      </c>
      <c r="L23" s="67">
        <v>1.17</v>
      </c>
      <c r="M23" s="67">
        <v>1.18</v>
      </c>
      <c r="N23" s="67">
        <v>1.18</v>
      </c>
      <c r="O23" s="67">
        <v>1.18</v>
      </c>
    </row>
    <row r="24" spans="5:46" x14ac:dyDescent="0.3">
      <c r="E24" s="66" t="s">
        <v>113</v>
      </c>
      <c r="F24" s="68">
        <v>16.8</v>
      </c>
      <c r="G24" s="68">
        <v>17.899999999999999</v>
      </c>
      <c r="H24" s="68">
        <v>18.3</v>
      </c>
      <c r="I24" s="68">
        <v>18.600000000000001</v>
      </c>
      <c r="J24" s="68">
        <v>18.5</v>
      </c>
      <c r="K24" s="68">
        <v>17.3</v>
      </c>
      <c r="L24" s="68">
        <v>16.7</v>
      </c>
      <c r="M24" s="68">
        <v>18.2</v>
      </c>
      <c r="N24" s="68">
        <v>18.7</v>
      </c>
      <c r="O24" s="68">
        <v>18.899999999999999</v>
      </c>
    </row>
    <row r="27" spans="5:46" x14ac:dyDescent="0.3">
      <c r="E27" s="96" t="s">
        <v>117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S27" s="89" t="s">
        <v>117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H27" s="89" t="s">
        <v>117</v>
      </c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</row>
    <row r="28" spans="5:46" ht="23.4" customHeight="1" x14ac:dyDescent="0.3"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</row>
    <row r="30" spans="5:46" ht="28.8" x14ac:dyDescent="0.3">
      <c r="E30" s="66" t="s">
        <v>45</v>
      </c>
      <c r="F30" s="67">
        <v>2014</v>
      </c>
      <c r="G30" s="67">
        <v>2015</v>
      </c>
      <c r="H30" s="67">
        <v>2016</v>
      </c>
      <c r="I30" s="67">
        <v>2017</v>
      </c>
      <c r="J30" s="67">
        <v>2018</v>
      </c>
      <c r="K30" s="67">
        <v>2019</v>
      </c>
      <c r="L30" s="67">
        <v>2022</v>
      </c>
      <c r="M30" s="67">
        <v>2023</v>
      </c>
      <c r="N30" s="67">
        <v>2024</v>
      </c>
      <c r="O30" s="67">
        <v>2025</v>
      </c>
      <c r="S30" s="66" t="s">
        <v>45</v>
      </c>
      <c r="T30" s="67">
        <v>2014</v>
      </c>
      <c r="U30" s="67">
        <v>2015</v>
      </c>
      <c r="V30" s="67">
        <v>2016</v>
      </c>
      <c r="W30" s="67">
        <v>2017</v>
      </c>
      <c r="X30" s="67">
        <v>2018</v>
      </c>
      <c r="Y30" s="67">
        <v>2019</v>
      </c>
      <c r="Z30" s="67">
        <v>2020</v>
      </c>
      <c r="AA30" s="67">
        <v>2021</v>
      </c>
      <c r="AB30" s="67">
        <v>2022</v>
      </c>
      <c r="AC30" s="67">
        <v>2023</v>
      </c>
      <c r="AD30" s="67">
        <v>2024</v>
      </c>
      <c r="AE30" s="67">
        <v>2025</v>
      </c>
      <c r="AH30" s="66" t="s">
        <v>128</v>
      </c>
      <c r="AI30" s="66">
        <v>2014</v>
      </c>
      <c r="AJ30" s="66">
        <v>2015</v>
      </c>
      <c r="AK30" s="66">
        <v>2016</v>
      </c>
      <c r="AL30" s="66">
        <v>2017</v>
      </c>
      <c r="AM30" s="66">
        <v>2018</v>
      </c>
      <c r="AN30" s="66">
        <v>2019</v>
      </c>
      <c r="AO30" s="66">
        <v>2020</v>
      </c>
      <c r="AP30" s="66">
        <v>2021</v>
      </c>
      <c r="AQ30" s="66">
        <v>2022</v>
      </c>
      <c r="AR30" s="66">
        <v>2023</v>
      </c>
      <c r="AS30" s="66">
        <v>2024</v>
      </c>
      <c r="AT30" s="66">
        <v>2025</v>
      </c>
    </row>
    <row r="31" spans="5:46" ht="28.8" x14ac:dyDescent="0.3">
      <c r="E31" s="66" t="s">
        <v>118</v>
      </c>
      <c r="F31" s="67">
        <v>0.72</v>
      </c>
      <c r="G31" s="67">
        <v>0.71</v>
      </c>
      <c r="H31" s="67">
        <v>0.71</v>
      </c>
      <c r="I31" s="67">
        <v>0.7</v>
      </c>
      <c r="J31" s="67">
        <v>0.7</v>
      </c>
      <c r="K31" s="67">
        <v>0.69</v>
      </c>
      <c r="L31" s="67">
        <v>0.71</v>
      </c>
      <c r="M31" s="67">
        <v>0.72</v>
      </c>
      <c r="N31" s="67">
        <v>0.72</v>
      </c>
      <c r="O31" s="67">
        <v>0.72</v>
      </c>
      <c r="S31" s="66" t="s">
        <v>120</v>
      </c>
      <c r="T31" s="67">
        <v>35</v>
      </c>
      <c r="U31" s="67">
        <v>36</v>
      </c>
      <c r="V31" s="67">
        <v>37</v>
      </c>
      <c r="W31" s="67">
        <v>38</v>
      </c>
      <c r="X31" s="67">
        <v>39</v>
      </c>
      <c r="Y31" s="67">
        <v>40</v>
      </c>
      <c r="Z31" s="67">
        <v>41</v>
      </c>
      <c r="AA31" s="67">
        <v>39</v>
      </c>
      <c r="AB31" s="67">
        <v>38</v>
      </c>
      <c r="AC31" s="67">
        <v>37</v>
      </c>
      <c r="AD31" s="67">
        <v>36</v>
      </c>
      <c r="AE31" s="67">
        <v>35</v>
      </c>
      <c r="AH31" s="68" t="s">
        <v>126</v>
      </c>
      <c r="AI31" s="67">
        <v>1.34</v>
      </c>
      <c r="AJ31" s="67">
        <v>1.33</v>
      </c>
      <c r="AK31" s="67">
        <v>1.33</v>
      </c>
      <c r="AL31" s="67">
        <v>1.32</v>
      </c>
      <c r="AM31" s="67">
        <v>1.31</v>
      </c>
      <c r="AN31" s="67">
        <v>1.29</v>
      </c>
      <c r="AO31" s="67">
        <v>1.28</v>
      </c>
      <c r="AP31" s="67">
        <v>1.27</v>
      </c>
      <c r="AQ31" s="67">
        <v>1.26</v>
      </c>
      <c r="AR31" s="67">
        <v>1.26</v>
      </c>
      <c r="AS31" s="67">
        <v>1.26</v>
      </c>
      <c r="AT31" s="67">
        <v>1.25</v>
      </c>
    </row>
    <row r="32" spans="5:46" ht="28.8" x14ac:dyDescent="0.3">
      <c r="E32" s="66" t="s">
        <v>119</v>
      </c>
      <c r="F32" s="67">
        <v>0.91</v>
      </c>
      <c r="G32" s="67">
        <v>0.9</v>
      </c>
      <c r="H32" s="67">
        <v>0.9</v>
      </c>
      <c r="I32" s="67">
        <v>0.89</v>
      </c>
      <c r="J32" s="67">
        <v>0.89</v>
      </c>
      <c r="K32" s="67">
        <v>0.88</v>
      </c>
      <c r="L32" s="67">
        <v>0.9</v>
      </c>
      <c r="M32" s="67">
        <v>0.9</v>
      </c>
      <c r="N32" s="67">
        <v>0.91</v>
      </c>
      <c r="O32" s="67">
        <v>0.91</v>
      </c>
      <c r="S32" s="66" t="s">
        <v>121</v>
      </c>
      <c r="T32" s="67">
        <v>60</v>
      </c>
      <c r="U32" s="67">
        <v>61</v>
      </c>
      <c r="V32" s="67">
        <v>62</v>
      </c>
      <c r="W32" s="67">
        <v>63</v>
      </c>
      <c r="X32" s="67">
        <v>64</v>
      </c>
      <c r="Y32" s="67">
        <v>65</v>
      </c>
      <c r="Z32" s="67">
        <v>66</v>
      </c>
      <c r="AA32" s="67">
        <v>64</v>
      </c>
      <c r="AB32" s="67">
        <v>63</v>
      </c>
      <c r="AC32" s="67">
        <v>62</v>
      </c>
      <c r="AD32" s="67">
        <v>61</v>
      </c>
      <c r="AE32" s="67">
        <v>60</v>
      </c>
      <c r="AH32" s="68" t="s">
        <v>127</v>
      </c>
      <c r="AI32" s="67">
        <v>0.38</v>
      </c>
      <c r="AJ32" s="67">
        <v>0.39</v>
      </c>
      <c r="AK32" s="67">
        <v>0.4</v>
      </c>
      <c r="AL32" s="67">
        <v>0.41</v>
      </c>
      <c r="AM32" s="67">
        <v>0.42</v>
      </c>
      <c r="AN32" s="67">
        <v>0.41</v>
      </c>
      <c r="AO32" s="67">
        <v>0.4</v>
      </c>
      <c r="AP32" s="67">
        <v>0.41</v>
      </c>
      <c r="AQ32" s="67">
        <v>0.42</v>
      </c>
      <c r="AR32" s="67">
        <v>0.43</v>
      </c>
      <c r="AS32" s="67">
        <v>0.44</v>
      </c>
      <c r="AT32" s="67">
        <v>0.45</v>
      </c>
    </row>
    <row r="33" spans="5:46" ht="28.8" x14ac:dyDescent="0.3">
      <c r="E33" s="66" t="s">
        <v>110</v>
      </c>
      <c r="F33" s="67">
        <v>0.1</v>
      </c>
      <c r="G33" s="67">
        <v>0.1</v>
      </c>
      <c r="H33" s="67">
        <v>0.11</v>
      </c>
      <c r="I33" s="67">
        <v>0.11</v>
      </c>
      <c r="J33" s="67">
        <v>0.12</v>
      </c>
      <c r="K33" s="67">
        <v>0.11</v>
      </c>
      <c r="L33" s="67">
        <v>0.11</v>
      </c>
      <c r="M33" s="67">
        <v>0.12</v>
      </c>
      <c r="N33" s="67">
        <v>0.12</v>
      </c>
      <c r="O33" s="67">
        <v>0.12</v>
      </c>
      <c r="S33" s="66" t="s">
        <v>122</v>
      </c>
      <c r="T33" s="67">
        <v>50</v>
      </c>
      <c r="U33" s="67">
        <v>51</v>
      </c>
      <c r="V33" s="67">
        <v>52</v>
      </c>
      <c r="W33" s="67">
        <v>53</v>
      </c>
      <c r="X33" s="67">
        <v>54</v>
      </c>
      <c r="Y33" s="67">
        <v>55</v>
      </c>
      <c r="Z33" s="67">
        <v>56</v>
      </c>
      <c r="AA33" s="67">
        <v>55</v>
      </c>
      <c r="AB33" s="67">
        <v>54</v>
      </c>
      <c r="AC33" s="67">
        <v>53</v>
      </c>
      <c r="AD33" s="67">
        <v>52</v>
      </c>
      <c r="AE33" s="67">
        <v>51</v>
      </c>
    </row>
    <row r="34" spans="5:46" x14ac:dyDescent="0.3">
      <c r="E34" s="66" t="s">
        <v>111</v>
      </c>
      <c r="F34" s="67">
        <v>0.85</v>
      </c>
      <c r="G34" s="67">
        <v>0.86</v>
      </c>
      <c r="H34" s="67">
        <v>0.87</v>
      </c>
      <c r="I34" s="67">
        <v>0.88</v>
      </c>
      <c r="J34" s="67">
        <v>0.89</v>
      </c>
      <c r="K34" s="67">
        <v>0.88</v>
      </c>
      <c r="L34" s="67">
        <v>0.88</v>
      </c>
      <c r="M34" s="67">
        <v>0.89</v>
      </c>
      <c r="N34" s="67">
        <v>0.9</v>
      </c>
      <c r="O34" s="67">
        <v>0.9</v>
      </c>
      <c r="S34" s="66" t="s">
        <v>124</v>
      </c>
      <c r="T34" s="68">
        <v>45</v>
      </c>
      <c r="U34" s="68">
        <v>46</v>
      </c>
      <c r="V34" s="68">
        <v>47</v>
      </c>
      <c r="W34" s="68">
        <v>48</v>
      </c>
      <c r="X34" s="68">
        <v>49</v>
      </c>
      <c r="Y34" s="68">
        <v>50</v>
      </c>
      <c r="Z34" s="68">
        <v>51</v>
      </c>
      <c r="AA34" s="68">
        <v>48</v>
      </c>
      <c r="AB34" s="68">
        <v>47</v>
      </c>
      <c r="AC34" s="68">
        <v>46</v>
      </c>
      <c r="AD34" s="68">
        <v>45</v>
      </c>
      <c r="AE34" s="68">
        <v>44</v>
      </c>
    </row>
    <row r="35" spans="5:46" ht="28.8" x14ac:dyDescent="0.3">
      <c r="E35" s="66" t="s">
        <v>112</v>
      </c>
      <c r="F35" s="67">
        <v>2</v>
      </c>
      <c r="G35" s="67">
        <v>2.02</v>
      </c>
      <c r="H35" s="67">
        <v>2.0499999999999998</v>
      </c>
      <c r="I35" s="67">
        <v>2.08</v>
      </c>
      <c r="J35" s="67">
        <v>2.1</v>
      </c>
      <c r="K35" s="67">
        <v>2.12</v>
      </c>
      <c r="L35" s="67">
        <v>2.15</v>
      </c>
      <c r="M35" s="67">
        <v>2.1800000000000002</v>
      </c>
      <c r="N35" s="67">
        <v>2.1800000000000002</v>
      </c>
      <c r="O35" s="67">
        <v>2.1800000000000002</v>
      </c>
    </row>
    <row r="36" spans="5:46" ht="18" x14ac:dyDescent="0.3">
      <c r="E36" s="66" t="s">
        <v>113</v>
      </c>
      <c r="F36" s="68">
        <v>13.1</v>
      </c>
      <c r="G36" s="68">
        <v>13.3</v>
      </c>
      <c r="H36" s="68">
        <v>13.9</v>
      </c>
      <c r="I36" s="68">
        <v>14.2</v>
      </c>
      <c r="J36" s="68">
        <v>14.8</v>
      </c>
      <c r="K36" s="68">
        <v>13.9</v>
      </c>
      <c r="L36" s="68">
        <v>14.5</v>
      </c>
      <c r="M36" s="68">
        <v>15</v>
      </c>
      <c r="N36" s="68">
        <v>15.2</v>
      </c>
      <c r="O36" s="68">
        <v>15.3</v>
      </c>
      <c r="AH36" s="101"/>
    </row>
    <row r="38" spans="5:46" x14ac:dyDescent="0.3">
      <c r="E38" s="89" t="s">
        <v>104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S38" s="100" t="s">
        <v>104</v>
      </c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1"/>
      <c r="AH38" s="89" t="s">
        <v>104</v>
      </c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</row>
    <row r="39" spans="5:46" x14ac:dyDescent="0.3"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S39" s="92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</row>
    <row r="41" spans="5:46" x14ac:dyDescent="0.3">
      <c r="E41" s="66" t="s">
        <v>45</v>
      </c>
      <c r="F41" s="67">
        <v>2014</v>
      </c>
      <c r="G41" s="67">
        <v>2015</v>
      </c>
      <c r="H41" s="67">
        <v>2016</v>
      </c>
      <c r="I41" s="67">
        <v>2017</v>
      </c>
      <c r="J41" s="67">
        <v>2018</v>
      </c>
      <c r="K41" s="67">
        <v>2019</v>
      </c>
      <c r="L41" s="67">
        <v>2022</v>
      </c>
      <c r="M41" s="67">
        <v>2023</v>
      </c>
      <c r="N41" s="67">
        <v>2024</v>
      </c>
      <c r="O41" s="67">
        <v>2025</v>
      </c>
      <c r="S41" s="66" t="s">
        <v>45</v>
      </c>
      <c r="T41" s="67">
        <v>2014</v>
      </c>
      <c r="U41" s="67">
        <v>2015</v>
      </c>
      <c r="V41" s="67">
        <v>2016</v>
      </c>
      <c r="W41" s="67">
        <v>2017</v>
      </c>
      <c r="X41" s="67">
        <v>2018</v>
      </c>
      <c r="Y41" s="67">
        <v>2019</v>
      </c>
      <c r="Z41" s="67">
        <v>2020</v>
      </c>
      <c r="AA41" s="67">
        <v>2021</v>
      </c>
      <c r="AB41" s="67">
        <v>2022</v>
      </c>
      <c r="AC41" s="67">
        <v>2023</v>
      </c>
      <c r="AD41" s="67">
        <v>2024</v>
      </c>
      <c r="AE41" s="67">
        <v>2025</v>
      </c>
    </row>
    <row r="42" spans="5:46" ht="28.8" x14ac:dyDescent="0.3">
      <c r="E42" s="66" t="s">
        <v>118</v>
      </c>
      <c r="F42" s="67">
        <v>0.7</v>
      </c>
      <c r="G42" s="67">
        <v>0.69</v>
      </c>
      <c r="H42" s="67">
        <v>0.69</v>
      </c>
      <c r="I42" s="67">
        <v>0.68</v>
      </c>
      <c r="J42" s="67">
        <v>0.68</v>
      </c>
      <c r="K42" s="67">
        <v>0.67</v>
      </c>
      <c r="L42" s="67">
        <v>0.66</v>
      </c>
      <c r="M42" s="67">
        <v>0.67</v>
      </c>
      <c r="N42" s="67">
        <v>0.68</v>
      </c>
      <c r="O42" s="67">
        <v>0.68</v>
      </c>
      <c r="S42" s="66" t="s">
        <v>120</v>
      </c>
      <c r="T42" s="67">
        <v>40</v>
      </c>
      <c r="U42" s="67">
        <v>41</v>
      </c>
      <c r="V42" s="67">
        <v>42</v>
      </c>
      <c r="W42" s="67">
        <v>43</v>
      </c>
      <c r="X42" s="67">
        <v>44</v>
      </c>
      <c r="Y42" s="67">
        <v>45</v>
      </c>
      <c r="Z42" s="67">
        <v>46</v>
      </c>
      <c r="AA42" s="67">
        <v>44</v>
      </c>
      <c r="AB42" s="67">
        <v>43</v>
      </c>
      <c r="AC42" s="67">
        <v>42</v>
      </c>
      <c r="AD42" s="67">
        <v>41</v>
      </c>
      <c r="AE42" s="67">
        <v>40</v>
      </c>
      <c r="AH42" s="66" t="s">
        <v>128</v>
      </c>
      <c r="AI42" s="66">
        <v>2014</v>
      </c>
      <c r="AJ42" s="66">
        <v>2015</v>
      </c>
      <c r="AK42" s="66">
        <v>2016</v>
      </c>
      <c r="AL42" s="66">
        <v>2017</v>
      </c>
      <c r="AM42" s="66">
        <v>2018</v>
      </c>
      <c r="AN42" s="66">
        <v>2019</v>
      </c>
      <c r="AO42" s="66">
        <v>2020</v>
      </c>
      <c r="AP42" s="66">
        <v>2021</v>
      </c>
      <c r="AQ42" s="66">
        <v>2022</v>
      </c>
      <c r="AR42" s="66">
        <v>2023</v>
      </c>
      <c r="AS42" s="66">
        <v>2024</v>
      </c>
      <c r="AT42" s="66">
        <v>2025</v>
      </c>
    </row>
    <row r="43" spans="5:46" ht="28.8" x14ac:dyDescent="0.3">
      <c r="E43" s="66" t="s">
        <v>119</v>
      </c>
      <c r="F43" s="67">
        <v>0.85</v>
      </c>
      <c r="G43" s="67">
        <v>0.84</v>
      </c>
      <c r="H43" s="67">
        <v>0.84</v>
      </c>
      <c r="I43" s="67">
        <v>0.83</v>
      </c>
      <c r="J43" s="67">
        <v>0.83</v>
      </c>
      <c r="K43" s="67">
        <v>0.82</v>
      </c>
      <c r="L43" s="67">
        <v>0.84</v>
      </c>
      <c r="M43" s="67">
        <v>0.84</v>
      </c>
      <c r="N43" s="67">
        <v>0.85</v>
      </c>
      <c r="O43" s="67">
        <v>0.85</v>
      </c>
      <c r="S43" s="66" t="s">
        <v>121</v>
      </c>
      <c r="T43" s="67">
        <v>65</v>
      </c>
      <c r="U43" s="67">
        <v>66</v>
      </c>
      <c r="V43" s="67">
        <v>67</v>
      </c>
      <c r="W43" s="67">
        <v>68</v>
      </c>
      <c r="X43" s="67">
        <v>69</v>
      </c>
      <c r="Y43" s="67">
        <v>70</v>
      </c>
      <c r="Z43" s="67">
        <v>71</v>
      </c>
      <c r="AA43" s="67">
        <v>69</v>
      </c>
      <c r="AB43" s="67">
        <v>68</v>
      </c>
      <c r="AC43" s="67">
        <v>67</v>
      </c>
      <c r="AD43" s="67">
        <v>66</v>
      </c>
      <c r="AE43" s="67">
        <v>65</v>
      </c>
      <c r="AH43" s="68" t="s">
        <v>126</v>
      </c>
      <c r="AI43" s="67">
        <v>1.24</v>
      </c>
      <c r="AJ43" s="67">
        <v>1.23</v>
      </c>
      <c r="AK43" s="67">
        <v>1.23</v>
      </c>
      <c r="AL43" s="67">
        <v>1.23</v>
      </c>
      <c r="AM43" s="67">
        <v>1.22</v>
      </c>
      <c r="AN43" s="67">
        <v>1.22</v>
      </c>
      <c r="AO43" s="67">
        <v>1.21</v>
      </c>
      <c r="AP43" s="67">
        <v>1.21</v>
      </c>
      <c r="AQ43" s="67">
        <v>1.21</v>
      </c>
      <c r="AR43" s="67">
        <v>1.21</v>
      </c>
      <c r="AS43" s="67">
        <v>1.21</v>
      </c>
      <c r="AT43" s="67">
        <v>1.21</v>
      </c>
    </row>
    <row r="44" spans="5:46" ht="28.8" x14ac:dyDescent="0.3">
      <c r="E44" s="66" t="s">
        <v>110</v>
      </c>
      <c r="F44" s="67">
        <v>0.08</v>
      </c>
      <c r="G44" s="67">
        <v>0.08</v>
      </c>
      <c r="H44" s="67">
        <v>0.09</v>
      </c>
      <c r="I44" s="67">
        <v>0.09</v>
      </c>
      <c r="J44" s="67">
        <v>0.09</v>
      </c>
      <c r="K44" s="67">
        <v>0.08</v>
      </c>
      <c r="L44" s="67">
        <v>0.08</v>
      </c>
      <c r="M44" s="67">
        <v>0.09</v>
      </c>
      <c r="N44" s="67">
        <v>0.09</v>
      </c>
      <c r="O44" s="67">
        <v>0.09</v>
      </c>
      <c r="S44" s="66" t="s">
        <v>122</v>
      </c>
      <c r="T44" s="67">
        <v>55</v>
      </c>
      <c r="U44" s="67">
        <v>56</v>
      </c>
      <c r="V44" s="67">
        <v>57</v>
      </c>
      <c r="W44" s="67">
        <v>58</v>
      </c>
      <c r="X44" s="67">
        <v>59</v>
      </c>
      <c r="Y44" s="67">
        <v>60</v>
      </c>
      <c r="Z44" s="67">
        <v>61</v>
      </c>
      <c r="AA44" s="67">
        <v>60</v>
      </c>
      <c r="AB44" s="67">
        <v>59</v>
      </c>
      <c r="AC44" s="67">
        <v>58</v>
      </c>
      <c r="AD44" s="67">
        <v>57</v>
      </c>
      <c r="AE44" s="67">
        <v>56</v>
      </c>
      <c r="AH44" s="68" t="s">
        <v>127</v>
      </c>
      <c r="AI44" s="67">
        <v>0.34</v>
      </c>
      <c r="AJ44" s="67">
        <v>0.35</v>
      </c>
      <c r="AK44" s="67">
        <v>0.36</v>
      </c>
      <c r="AL44" s="67">
        <v>0.36</v>
      </c>
      <c r="AM44" s="67">
        <v>0.37</v>
      </c>
      <c r="AN44" s="67">
        <v>0.36</v>
      </c>
      <c r="AO44" s="67">
        <v>0.35</v>
      </c>
      <c r="AP44" s="67">
        <v>0.36</v>
      </c>
      <c r="AQ44" s="67">
        <v>0.37</v>
      </c>
      <c r="AR44" s="67">
        <v>0.37</v>
      </c>
      <c r="AS44" s="67">
        <v>0.38</v>
      </c>
      <c r="AT44" s="67">
        <v>0.38</v>
      </c>
    </row>
    <row r="45" spans="5:46" x14ac:dyDescent="0.3">
      <c r="E45" s="66" t="s">
        <v>111</v>
      </c>
      <c r="F45" s="67">
        <v>1.1000000000000001</v>
      </c>
      <c r="G45" s="67">
        <v>1.1100000000000001</v>
      </c>
      <c r="H45" s="67">
        <v>1.1200000000000001</v>
      </c>
      <c r="I45" s="67">
        <v>1.1299999999999999</v>
      </c>
      <c r="J45" s="67">
        <v>1.1399999999999999</v>
      </c>
      <c r="K45" s="67">
        <v>1.1299999999999999</v>
      </c>
      <c r="L45" s="67">
        <v>1.1299999999999999</v>
      </c>
      <c r="M45" s="67">
        <v>1.1399999999999999</v>
      </c>
      <c r="N45" s="67">
        <v>1.1499999999999999</v>
      </c>
      <c r="O45" s="67">
        <v>1.1499999999999999</v>
      </c>
      <c r="S45" s="66" t="s">
        <v>124</v>
      </c>
      <c r="T45" s="68">
        <v>50</v>
      </c>
      <c r="U45" s="68">
        <v>51</v>
      </c>
      <c r="V45" s="68">
        <v>52</v>
      </c>
      <c r="W45" s="68">
        <v>53</v>
      </c>
      <c r="X45" s="68">
        <v>54</v>
      </c>
      <c r="Y45" s="68">
        <v>55</v>
      </c>
      <c r="Z45" s="68">
        <v>56</v>
      </c>
      <c r="AA45" s="68">
        <v>53</v>
      </c>
      <c r="AB45" s="68">
        <v>52</v>
      </c>
      <c r="AC45" s="68">
        <v>51</v>
      </c>
      <c r="AD45" s="68">
        <v>50</v>
      </c>
      <c r="AE45" s="68">
        <v>49</v>
      </c>
    </row>
    <row r="46" spans="5:46" ht="28.8" x14ac:dyDescent="0.3">
      <c r="E46" s="66" t="s">
        <v>112</v>
      </c>
      <c r="F46" s="67">
        <v>2.2999999999999998</v>
      </c>
      <c r="G46" s="67">
        <v>2.3199999999999998</v>
      </c>
      <c r="H46" s="67">
        <v>2.35</v>
      </c>
      <c r="I46" s="67">
        <v>2.38</v>
      </c>
      <c r="J46" s="67">
        <v>2.4</v>
      </c>
      <c r="K46" s="67">
        <v>2.42</v>
      </c>
      <c r="L46" s="67">
        <v>2.42</v>
      </c>
      <c r="M46" s="67">
        <v>2.4300000000000002</v>
      </c>
      <c r="N46" s="67">
        <v>2.4500000000000002</v>
      </c>
      <c r="O46" s="67">
        <v>2.4500000000000002</v>
      </c>
      <c r="AH46" s="101"/>
    </row>
    <row r="47" spans="5:46" x14ac:dyDescent="0.3">
      <c r="E47" s="66" t="s">
        <v>113</v>
      </c>
      <c r="F47" s="68">
        <v>9.4</v>
      </c>
      <c r="G47" s="68">
        <v>9.6</v>
      </c>
      <c r="H47" s="68">
        <v>9.9</v>
      </c>
      <c r="I47" s="68">
        <v>10.1</v>
      </c>
      <c r="J47" s="68">
        <v>10.3</v>
      </c>
      <c r="K47" s="68">
        <v>9.8000000000000007</v>
      </c>
      <c r="L47" s="68">
        <v>9.5</v>
      </c>
      <c r="M47" s="68">
        <v>10.1</v>
      </c>
      <c r="N47" s="68">
        <v>10.5</v>
      </c>
      <c r="O47" s="68">
        <v>10.6</v>
      </c>
    </row>
    <row r="49" spans="5:46" x14ac:dyDescent="0.3">
      <c r="E49" s="89" t="s">
        <v>102</v>
      </c>
      <c r="F49" s="89"/>
      <c r="G49" s="89"/>
      <c r="H49" s="89"/>
      <c r="I49" s="89"/>
      <c r="J49" s="89"/>
      <c r="K49" s="89"/>
      <c r="L49" s="89"/>
      <c r="M49" s="89"/>
      <c r="N49" s="89"/>
      <c r="O49" s="89"/>
      <c r="S49" s="89" t="s">
        <v>102</v>
      </c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H49" s="89" t="s">
        <v>116</v>
      </c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</row>
    <row r="50" spans="5:46" x14ac:dyDescent="0.3"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</row>
    <row r="52" spans="5:46" x14ac:dyDescent="0.3">
      <c r="E52" s="66" t="s">
        <v>45</v>
      </c>
      <c r="F52" s="67">
        <v>2014</v>
      </c>
      <c r="G52" s="67">
        <v>2015</v>
      </c>
      <c r="H52" s="67">
        <v>2016</v>
      </c>
      <c r="I52" s="67">
        <v>2017</v>
      </c>
      <c r="J52" s="67">
        <v>2018</v>
      </c>
      <c r="K52" s="67">
        <v>2019</v>
      </c>
      <c r="L52" s="67">
        <v>2022</v>
      </c>
      <c r="M52" s="67">
        <v>2023</v>
      </c>
      <c r="N52" s="67">
        <v>2024</v>
      </c>
      <c r="O52" s="67">
        <v>2025</v>
      </c>
      <c r="S52" s="66" t="s">
        <v>45</v>
      </c>
      <c r="T52" s="67">
        <v>2014</v>
      </c>
      <c r="U52" s="67">
        <v>2015</v>
      </c>
      <c r="V52" s="67">
        <v>2016</v>
      </c>
      <c r="W52" s="67">
        <v>2017</v>
      </c>
      <c r="X52" s="67">
        <v>2018</v>
      </c>
      <c r="Y52" s="67">
        <v>2019</v>
      </c>
      <c r="Z52" s="67">
        <v>2020</v>
      </c>
      <c r="AA52" s="67">
        <v>2021</v>
      </c>
      <c r="AB52" s="67">
        <v>2022</v>
      </c>
      <c r="AC52" s="67">
        <v>2023</v>
      </c>
      <c r="AD52" s="67">
        <v>2024</v>
      </c>
      <c r="AE52" s="67">
        <v>2025</v>
      </c>
    </row>
    <row r="53" spans="5:46" ht="28.8" x14ac:dyDescent="0.3">
      <c r="E53" s="66" t="s">
        <v>118</v>
      </c>
      <c r="F53" s="67">
        <v>0.65</v>
      </c>
      <c r="G53" s="67">
        <v>0.64</v>
      </c>
      <c r="H53" s="67">
        <v>0.64</v>
      </c>
      <c r="I53" s="67">
        <v>0.63</v>
      </c>
      <c r="J53" s="67">
        <v>0.62</v>
      </c>
      <c r="K53" s="67">
        <v>0.61</v>
      </c>
      <c r="L53" s="67">
        <v>0.61</v>
      </c>
      <c r="M53" s="67">
        <v>0.62</v>
      </c>
      <c r="N53" s="67">
        <v>0.63</v>
      </c>
      <c r="O53" s="67">
        <v>0.63</v>
      </c>
      <c r="S53" s="66" t="s">
        <v>120</v>
      </c>
      <c r="T53" s="67">
        <v>50</v>
      </c>
      <c r="U53" s="67">
        <v>51</v>
      </c>
      <c r="V53" s="67">
        <v>52</v>
      </c>
      <c r="W53" s="67">
        <v>53</v>
      </c>
      <c r="X53" s="67">
        <v>54</v>
      </c>
      <c r="Y53" s="67">
        <v>55</v>
      </c>
      <c r="Z53" s="67">
        <v>56</v>
      </c>
      <c r="AA53" s="67">
        <v>55</v>
      </c>
      <c r="AB53" s="67">
        <v>54</v>
      </c>
      <c r="AC53" s="67">
        <v>53</v>
      </c>
      <c r="AD53" s="67">
        <v>52</v>
      </c>
      <c r="AE53" s="67">
        <v>51</v>
      </c>
      <c r="AH53" s="66" t="s">
        <v>128</v>
      </c>
      <c r="AI53" s="66">
        <v>2014</v>
      </c>
      <c r="AJ53" s="66">
        <v>2015</v>
      </c>
      <c r="AK53" s="66">
        <v>2016</v>
      </c>
      <c r="AL53" s="66">
        <v>2017</v>
      </c>
      <c r="AM53" s="66">
        <v>2018</v>
      </c>
      <c r="AN53" s="66">
        <v>2019</v>
      </c>
      <c r="AO53" s="66">
        <v>2020</v>
      </c>
      <c r="AP53" s="66">
        <v>2021</v>
      </c>
      <c r="AQ53" s="66">
        <v>2022</v>
      </c>
      <c r="AR53" s="66">
        <v>2023</v>
      </c>
      <c r="AS53" s="66">
        <v>2024</v>
      </c>
      <c r="AT53" s="66">
        <v>2025</v>
      </c>
    </row>
    <row r="54" spans="5:46" ht="28.8" x14ac:dyDescent="0.3">
      <c r="E54" s="66" t="s">
        <v>119</v>
      </c>
      <c r="F54" s="67">
        <v>0.78</v>
      </c>
      <c r="G54" s="67">
        <v>0.77</v>
      </c>
      <c r="H54" s="67">
        <v>0.76</v>
      </c>
      <c r="I54" s="67">
        <v>0.75</v>
      </c>
      <c r="J54" s="67">
        <v>0.75</v>
      </c>
      <c r="K54" s="67">
        <v>0.74</v>
      </c>
      <c r="L54" s="67">
        <v>0.77</v>
      </c>
      <c r="M54" s="67">
        <v>0.78</v>
      </c>
      <c r="N54" s="67">
        <v>0.78</v>
      </c>
      <c r="O54" s="67">
        <v>0.78</v>
      </c>
      <c r="S54" s="66" t="s">
        <v>121</v>
      </c>
      <c r="T54" s="67">
        <v>70</v>
      </c>
      <c r="U54" s="67">
        <v>71</v>
      </c>
      <c r="V54" s="67">
        <v>72</v>
      </c>
      <c r="W54" s="67">
        <v>73</v>
      </c>
      <c r="X54" s="67">
        <v>74</v>
      </c>
      <c r="Y54" s="67">
        <v>75</v>
      </c>
      <c r="Z54" s="67">
        <v>76</v>
      </c>
      <c r="AA54" s="67">
        <v>75</v>
      </c>
      <c r="AB54" s="67">
        <v>74</v>
      </c>
      <c r="AC54" s="67">
        <v>73</v>
      </c>
      <c r="AD54" s="67">
        <v>72</v>
      </c>
      <c r="AE54" s="67">
        <v>71</v>
      </c>
      <c r="AH54" s="68" t="s">
        <v>126</v>
      </c>
      <c r="AI54" s="67">
        <v>1.2</v>
      </c>
      <c r="AJ54" s="67">
        <v>1.2</v>
      </c>
      <c r="AK54" s="67">
        <v>1.19</v>
      </c>
      <c r="AL54" s="67">
        <v>1.18</v>
      </c>
      <c r="AM54" s="67">
        <v>1.18</v>
      </c>
      <c r="AN54" s="67">
        <v>1.17</v>
      </c>
      <c r="AO54" s="67">
        <v>1.1599999999999999</v>
      </c>
      <c r="AP54" s="67">
        <v>1.1499999999999999</v>
      </c>
      <c r="AQ54" s="67">
        <v>1.1499999999999999</v>
      </c>
      <c r="AR54" s="67">
        <v>1.1499999999999999</v>
      </c>
      <c r="AS54" s="67">
        <v>1.1499999999999999</v>
      </c>
      <c r="AT54" s="67">
        <v>1.1499999999999999</v>
      </c>
    </row>
    <row r="55" spans="5:46" ht="28.8" x14ac:dyDescent="0.3">
      <c r="E55" s="66" t="s">
        <v>110</v>
      </c>
      <c r="F55" s="67">
        <v>7.0000000000000007E-2</v>
      </c>
      <c r="G55" s="67">
        <v>7.0000000000000007E-2</v>
      </c>
      <c r="H55" s="67">
        <v>0.08</v>
      </c>
      <c r="I55" s="67">
        <v>0.08</v>
      </c>
      <c r="J55" s="67">
        <v>0.08</v>
      </c>
      <c r="K55" s="67">
        <v>7.0000000000000007E-2</v>
      </c>
      <c r="L55" s="67">
        <v>7.0000000000000007E-2</v>
      </c>
      <c r="M55" s="67">
        <v>0.08</v>
      </c>
      <c r="N55" s="67">
        <v>0.08</v>
      </c>
      <c r="O55" s="67">
        <v>0.08</v>
      </c>
      <c r="S55" s="66" t="s">
        <v>122</v>
      </c>
      <c r="T55" s="67">
        <v>60</v>
      </c>
      <c r="U55" s="67">
        <v>61</v>
      </c>
      <c r="V55" s="67">
        <v>62</v>
      </c>
      <c r="W55" s="67">
        <v>63</v>
      </c>
      <c r="X55" s="67">
        <v>64</v>
      </c>
      <c r="Y55" s="67">
        <v>65</v>
      </c>
      <c r="Z55" s="67">
        <v>66</v>
      </c>
      <c r="AA55" s="67">
        <v>65</v>
      </c>
      <c r="AB55" s="67">
        <v>64</v>
      </c>
      <c r="AC55" s="67">
        <v>63</v>
      </c>
      <c r="AD55" s="67">
        <v>62</v>
      </c>
      <c r="AE55" s="67">
        <v>61</v>
      </c>
      <c r="AH55" s="68" t="s">
        <v>127</v>
      </c>
      <c r="AI55" s="67">
        <v>0.32</v>
      </c>
      <c r="AJ55" s="67">
        <v>0.33</v>
      </c>
      <c r="AK55" s="67">
        <v>0.34</v>
      </c>
      <c r="AL55" s="67">
        <v>0.35</v>
      </c>
      <c r="AM55" s="67">
        <v>0.36</v>
      </c>
      <c r="AN55" s="67">
        <v>0.35</v>
      </c>
      <c r="AO55" s="67">
        <v>0.34</v>
      </c>
      <c r="AP55" s="67">
        <v>0.35</v>
      </c>
      <c r="AQ55" s="67">
        <v>0.36</v>
      </c>
      <c r="AR55" s="67">
        <v>0.37</v>
      </c>
      <c r="AS55" s="67">
        <v>0.38</v>
      </c>
      <c r="AT55" s="67">
        <v>0.38</v>
      </c>
    </row>
    <row r="56" spans="5:46" x14ac:dyDescent="0.3">
      <c r="E56" s="66" t="s">
        <v>111</v>
      </c>
      <c r="F56" s="67">
        <v>0.75</v>
      </c>
      <c r="G56" s="67">
        <v>0.76</v>
      </c>
      <c r="H56" s="67">
        <v>0.78</v>
      </c>
      <c r="I56" s="67">
        <v>0.79</v>
      </c>
      <c r="J56" s="67">
        <v>0.8</v>
      </c>
      <c r="K56" s="67">
        <v>0.79</v>
      </c>
      <c r="L56" s="67">
        <v>0.79</v>
      </c>
      <c r="M56" s="67">
        <v>0.81</v>
      </c>
      <c r="N56" s="67">
        <v>0.82</v>
      </c>
      <c r="O56" s="67">
        <v>0.82</v>
      </c>
      <c r="S56" s="66" t="s">
        <v>124</v>
      </c>
      <c r="T56" s="68">
        <v>60</v>
      </c>
      <c r="U56" s="68">
        <v>61</v>
      </c>
      <c r="V56" s="68">
        <v>62</v>
      </c>
      <c r="W56" s="68">
        <v>63</v>
      </c>
      <c r="X56" s="68">
        <v>64</v>
      </c>
      <c r="Y56" s="68">
        <v>65</v>
      </c>
      <c r="Z56" s="68">
        <v>66</v>
      </c>
      <c r="AA56" s="68">
        <v>65</v>
      </c>
      <c r="AB56" s="68">
        <v>64</v>
      </c>
      <c r="AC56" s="68">
        <v>63</v>
      </c>
      <c r="AD56" s="68">
        <v>62</v>
      </c>
      <c r="AE56" s="68">
        <v>61</v>
      </c>
    </row>
    <row r="57" spans="5:46" ht="28.8" x14ac:dyDescent="0.3">
      <c r="E57" s="66" t="s">
        <v>112</v>
      </c>
      <c r="F57" s="67">
        <v>3</v>
      </c>
      <c r="G57" s="67">
        <v>3.05</v>
      </c>
      <c r="H57" s="67">
        <v>3.1</v>
      </c>
      <c r="I57" s="67">
        <v>3.15</v>
      </c>
      <c r="J57" s="67">
        <v>3.2</v>
      </c>
      <c r="K57" s="67">
        <v>3.25</v>
      </c>
      <c r="L57" s="67">
        <v>3.25</v>
      </c>
      <c r="M57" s="67">
        <v>3.28</v>
      </c>
      <c r="N57" s="67">
        <v>3.3</v>
      </c>
      <c r="O57" s="67">
        <v>3.3</v>
      </c>
      <c r="AH57" s="101"/>
    </row>
    <row r="58" spans="5:46" x14ac:dyDescent="0.3">
      <c r="E58" s="66" t="s">
        <v>113</v>
      </c>
      <c r="F58" s="68">
        <v>10.3</v>
      </c>
      <c r="G58" s="68">
        <v>10.5</v>
      </c>
      <c r="H58" s="68">
        <v>11.2</v>
      </c>
      <c r="I58" s="68">
        <v>11.6</v>
      </c>
      <c r="J58" s="68">
        <v>12</v>
      </c>
      <c r="K58" s="68">
        <v>11.4</v>
      </c>
      <c r="L58" s="68">
        <v>11.4</v>
      </c>
      <c r="M58" s="68">
        <v>12.3</v>
      </c>
      <c r="N58" s="68">
        <v>12.7</v>
      </c>
      <c r="O58" s="68">
        <v>12.9</v>
      </c>
    </row>
  </sheetData>
  <mergeCells count="18">
    <mergeCell ref="AH2:AT3"/>
    <mergeCell ref="AH5:AT5"/>
    <mergeCell ref="AH16:AT16"/>
    <mergeCell ref="AH27:AT28"/>
    <mergeCell ref="AH38:AT39"/>
    <mergeCell ref="AH49:AT50"/>
    <mergeCell ref="S49:AE50"/>
    <mergeCell ref="E5:O5"/>
    <mergeCell ref="E27:O28"/>
    <mergeCell ref="E38:O39"/>
    <mergeCell ref="E2:O3"/>
    <mergeCell ref="S2:AE3"/>
    <mergeCell ref="S5:AE5"/>
    <mergeCell ref="S16:AE16"/>
    <mergeCell ref="S27:AE28"/>
    <mergeCell ref="S38:AE39"/>
    <mergeCell ref="E49:O50"/>
    <mergeCell ref="E16:O1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8193" r:id="rId3" name="Control 1">
          <controlPr defaultSize="0" r:id="rId4">
            <anchor moveWithCells="1">
              <from>
                <xdr:col>2</xdr:col>
                <xdr:colOff>0</xdr:colOff>
                <xdr:row>71</xdr:row>
                <xdr:rowOff>0</xdr:rowOff>
              </from>
              <to>
                <xdr:col>5</xdr:col>
                <xdr:colOff>541020</xdr:colOff>
                <xdr:row>75</xdr:row>
                <xdr:rowOff>175260</xdr:rowOff>
              </to>
            </anchor>
          </controlPr>
        </control>
      </mc:Choice>
      <mc:Fallback>
        <control shapeId="8193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Maruti Suzuki</vt:lpstr>
      <vt:lpstr>Eicher Motors</vt:lpstr>
      <vt:lpstr>Mahindra &amp; Mahindra</vt:lpstr>
      <vt:lpstr>Tata Motors</vt:lpstr>
      <vt:lpstr>Ashok Leyland</vt:lpstr>
      <vt:lpstr>Forensic Analysis</vt:lpstr>
      <vt:lpstr>Financial Statement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Choudhary</cp:lastModifiedBy>
  <dcterms:created xsi:type="dcterms:W3CDTF">2025-12-14T10:23:33Z</dcterms:created>
  <dcterms:modified xsi:type="dcterms:W3CDTF">2025-12-30T09:02:45Z</dcterms:modified>
</cp:coreProperties>
</file>